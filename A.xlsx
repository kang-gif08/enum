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47bd740d4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【160件】単体テスト仕様書" sheetId="1" r:id="Re33d5867e41b473e"/>
    <x:sheet xmlns:r="http://schemas.openxmlformats.org/officeDocument/2006/relationships" name="サマリー" sheetId="2" r:id="R62916bd558af4a0b"/>
    <x:sheet xmlns:r="http://schemas.openxmlformats.org/officeDocument/2006/relationships" name="テストデータ" sheetId="3" r:id="R6e7eed96c6644aa4"/>
    <x:sheet xmlns:r="http://schemas.openxmlformats.org/officeDocument/2006/relationships" name="区分リスト" sheetId="4" r:id="Rd48bb1db519a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/mm/dd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000000"/>
      <x:name val="Carlito"/>
    </x:font>
    <x:font>
      <x:b/>
      <x:sz val="11"/>
      <x:color rgb="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D9D9D9"/>
      </x:patternFill>
    </x:fill>
    <x:fill>
      <x:patternFill patternType="solid">
        <x:fgColor rgb="D9EAF7"/>
      </x:patternFill>
    </x:fill>
    <x:fill>
      <x:patternFill patternType="solid">
        <x:fgColor rgb="B7DEE8"/>
      </x:patternFill>
    </x:fill>
    <x:fill>
      <x:patternFill patternType="solid">
        <x:fgColor rgb="FFF2CC"/>
      </x:patternFill>
    </x:fill>
    <x:fill>
      <x:patternFill patternType="solid">
        <x:fgColor rgb="CFE8E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D9EAD3"/>
        </x:patternFill>
      </x:fill>
    </x:dxf>
    <x:dxf>
      <x:fill>
        <x:patternFill>
          <x:bgColor rgb="F4CCCC"/>
        </x:patternFill>
      </x:fill>
    </x:dxf>
    <x:dxf>
      <x:fill>
        <x:patternFill>
          <x:bgColor rgb="FFF2CC"/>
        </x:patternFill>
      </x:fill>
    </x:dxf>
    <x:dxf>
      <x:fill>
        <x:patternFill>
          <x:bgColor rgb="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8bfdde6044c0b" /><Relationship Type="http://schemas.openxmlformats.org/officeDocument/2006/relationships/theme" Target="/xl/theme/theme1.xml" Id="Re647908ed016433e" /><Relationship Type="http://schemas.openxmlformats.org/officeDocument/2006/relationships/sharedStrings" Target="/xl/sharedStrings.xml" Id="R7350b411936b4c97" /><Relationship Type="http://schemas.openxmlformats.org/officeDocument/2006/relationships/worksheet" Target="/xl/worksheets/sheet1.xml" Id="Re33d5867e41b473e" /><Relationship Type="http://schemas.openxmlformats.org/officeDocument/2006/relationships/worksheet" Target="/xl/worksheets/sheet2.xml" Id="R62916bd558af4a0b" /><Relationship Type="http://schemas.openxmlformats.org/officeDocument/2006/relationships/worksheet" Target="/xl/worksheets/sheet3.xml" Id="R6e7eed96c6644aa4" /><Relationship Type="http://schemas.openxmlformats.org/officeDocument/2006/relationships/worksheet" Target="/xl/worksheets/sheet4.xml" Id="Rd48bb1db519a424e" /></Relationships>
</file>

<file path=xl/tables/table1.xml><?xml version="1.0" encoding="utf-8"?>
<x:table xmlns:x="http://schemas.openxmlformats.org/spreadsheetml/2006/main" id="1" name="UnitTestSpec160" displayName="UnitTestSpec160" ref="A12:K172" headerRowCount="1">
  <x:tableColumns count="11">
    <x:tableColumn id="1" name="No"/>
    <x:tableColumn id="2" name="大分類"/>
    <x:tableColumn id="3" name="中分類"/>
    <x:tableColumn id="4" name="小分類"/>
    <x:tableColumn id="5" name="前提条件"/>
    <x:tableColumn id="6" name="テスト実施内容"/>
    <x:tableColumn id="7" name="想定結果"/>
    <x:tableColumn id="8" name="日付"/>
    <x:tableColumn id="9" name="担当"/>
    <x:tableColumn id="10" name="結果"/>
    <x:tableColumn id="11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23ddb2eb35428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16" hidden="0" customWidth="1"/>
    <x:col min="5" max="5" width="34" hidden="0" customWidth="1"/>
    <x:col min="6" max="6" width="42" hidden="0" customWidth="1"/>
    <x:col min="7" max="7" width="48" hidden="0" customWidth="1"/>
    <x:col min="8" max="8" width="11" hidden="0" customWidth="1"/>
    <x:col min="9" max="9" width="10" hidden="0" customWidth="1"/>
    <x:col min="10" max="10" width="10" hidden="0" customWidth="1"/>
    <x:col min="11" max="11" width="26" hidden="0" customWidth="1"/>
    <x:col min="13" max="13" width="13" hidden="0" customWidth="1"/>
    <x:col min="14" max="14" width="12" hidden="0" customWidth="1"/>
  </x:cols>
  <x:sheetData>
    <x:row r="1">
      <x:c r="B1" s="4" t="str">
        <x:v>研修名</x:v>
      </x:c>
      <x:c r="C1" s="9" t="str">
        <x:v>ペア演習課題01</x:v>
      </x:c>
      <x:c r="F1" s="4" t="str">
        <x:v>作成日</x:v>
      </x:c>
      <x:c r="G1" s="9" t="str">
        <x:v>2026/5/25</x:v>
      </x:c>
      <x:c r="I1" s="4" t="str">
        <x:v>作成者</x:v>
      </x:c>
      <x:c r="J1" s="50" t="str">
        <x:v>大祥田佑世</x:v>
      </x:c>
    </x:row>
    <x:row r="2">
      <x:c r="B2" s="4" t="str">
        <x:v>課題名</x:v>
      </x:c>
      <x:c r="C2" s="9" t="str">
        <x:v>配送管理アプリケーション</x:v>
      </x:c>
      <x:c r="F2" s="4" t="str">
        <x:v>更新日</x:v>
      </x:c>
      <x:c r="G2" s="9" t="str">
        <x:v>2026/5/25</x:v>
      </x:c>
      <x:c r="I2" s="4" t="str">
        <x:v>更新者</x:v>
      </x:c>
      <x:c r="J2" s="50" t="str">
        <x:v>康</x:v>
      </x:c>
    </x:row>
    <x:row r="4">
      <x:c r="B4" s="15" t="str">
        <x:v>単体テスト仕様書（240件版・配送側追加）</x:v>
      </x:c>
      <x:c r="C4" s="15" t="str"/>
      <x:c r="D4" s="15" t="str"/>
      <x:c r="E4" s="15" t="str"/>
      <x:c r="F4" s="15" t="str"/>
      <x:c r="G4" s="15" t="str"/>
      <x:c r="H4" s="15" t="str"/>
      <x:c r="I4" s="15" t="str"/>
      <x:c r="J4" s="15" t="str"/>
    </x:row>
    <x:row r="5">
      <x:c r="M5" s="31" t="str">
        <x:v>集計</x:v>
      </x:c>
      <x:c r="N5" s="31" t="str"/>
    </x:row>
    <x:row r="6">
      <x:c r="M6" s="36" t="str">
        <x:v>総数</x:v>
      </x:c>
      <x:c r="N6" s="8" t="n">
        <x:f>COUNTA(A13:A252)</x:f>
        <x:v>240</x:v>
      </x:c>
    </x:row>
    <x:row r="7">
      <x:c r="M7" s="36" t="str">
        <x:v>実施数</x:v>
      </x:c>
      <x:c r="N7" s="8" t="n">
        <x:f>COUNTIF(J13:J252,"&lt;&gt;")</x:f>
        <x:v>0</x:v>
      </x:c>
    </x:row>
    <x:row r="8">
      <x:c r="M8" s="36" t="str">
        <x:v>正常数</x:v>
      </x:c>
      <x:c r="N8" s="8" t="n">
        <x:f>COUNTIF(J13:J252,"OK")</x:f>
        <x:v>0</x:v>
      </x:c>
    </x:row>
    <x:row r="9">
      <x:c r="M9" s="36" t="str">
        <x:v>実施率（%）</x:v>
      </x:c>
      <x:c r="N9" s="40" t="n">
        <x:f>IF(N6=0,0,ROUND(N7/N6*100,1))</x:f>
        <x:v>0</x:v>
      </x:c>
    </x:row>
    <x:row r="10">
      <x:c r="M10" s="36" t="str">
        <x:v>障害数</x:v>
      </x:c>
      <x:c r="N10" s="8" t="n">
        <x:f>COUNTIF(J13:J252,"NG")</x:f>
        <x:v>0</x:v>
      </x:c>
    </x:row>
    <x:row r="12" ht="26" customHeight="1">
      <x:c r="A12" s="24" t="str">
        <x:v>No</x:v>
      </x:c>
      <x:c r="B12" s="24" t="str">
        <x:v>大分類</x:v>
      </x:c>
      <x:c r="C12" s="24" t="str">
        <x:v>中分類</x:v>
      </x:c>
      <x:c r="D12" s="24" t="str">
        <x:v>小分類</x:v>
      </x:c>
      <x:c r="E12" s="24" t="str">
        <x:v>前提条件</x:v>
      </x:c>
      <x:c r="F12" s="24" t="str">
        <x:v>テスト実施内容</x:v>
      </x:c>
      <x:c r="G12" s="24" t="str">
        <x:v>想定結果</x:v>
      </x:c>
      <x:c r="H12" s="24" t="str">
        <x:v>日付</x:v>
      </x:c>
      <x:c r="I12" s="24" t="str">
        <x:v>担当</x:v>
      </x:c>
      <x:c r="J12" s="24" t="str">
        <x:v>結果</x:v>
      </x:c>
      <x:c r="K12" s="24" t="str">
        <x:v>備考</x:v>
      </x:c>
    </x:row>
    <x:row r="13" ht="54" customHeight="1">
      <x:c r="A13" s="46" t="n">
        <x:v>1</x:v>
      </x:c>
      <x:c r="B13" s="44" t="str">
        <x:v>正常系</x:v>
      </x:c>
      <x:c r="C13" s="44" t="str">
        <x:v>ログイン</x:v>
      </x:c>
      <x:c r="D13" s="44" t="str">
        <x:v>ID・パスワード</x:v>
      </x:c>
      <x:c r="E13" s="44" t="str">
        <x:v>delivery_userテーブルに user_id='yamada'、password='yamada' が登録済み</x:v>
      </x:c>
      <x:c r="F13" s="44" t="str">
        <x:v>ID入力欄に'yamada'、パスワード入力欄に'yamada'を入力してログインボタンを押す</x:v>
      </x:c>
      <x:c r="G13" s="44" t="str">
        <x:v>ヘッダーにユーザ名が表示され、配送情報検索画面へ遷移する</x:v>
      </x:c>
      <x:c r="H13" s="48" t="str"/>
      <x:c r="I13" s="46" t="str">
        <x:v>大祥田</x:v>
      </x:c>
      <x:c r="J13" s="46" t="str"/>
      <x:c r="K13" s="44" t="str"/>
    </x:row>
    <x:row r="14" ht="54" customHeight="1">
      <x:c r="A14" s="46" t="n">
        <x:v>2</x:v>
      </x:c>
      <x:c r="B14" s="44" t="str">
        <x:v>異常系</x:v>
      </x:c>
      <x:c r="C14" s="44" t="str">
        <x:v>ログイン</x:v>
      </x:c>
      <x:c r="D14" s="44" t="str">
        <x:v>ID未入力</x:v>
      </x:c>
      <x:c r="E14" s="44" t="str">
        <x:v>delivery_userテーブルに user_id='yamada'、password='yamada' が登録済み</x:v>
      </x:c>
      <x:c r="F14" s="44" t="str">
        <x:v>IDを空欄、パスワードに'yamada'を入力してログインボタンを押す</x:v>
      </x:c>
      <x:c r="G14" s="44" t="str">
        <x:v>ログイン画面に戻り「ログインに失敗しました。」等のエラーメッセージが表示される</x:v>
      </x:c>
      <x:c r="H14" s="48" t="str"/>
      <x:c r="I14" s="46" t="str">
        <x:v>大祥田</x:v>
      </x:c>
      <x:c r="J14" s="46" t="str"/>
      <x:c r="K14" s="44" t="str"/>
    </x:row>
    <x:row r="15" ht="54" customHeight="1">
      <x:c r="A15" s="46" t="n">
        <x:v>3</x:v>
      </x:c>
      <x:c r="B15" s="44" t="str">
        <x:v>異常系</x:v>
      </x:c>
      <x:c r="C15" s="44" t="str">
        <x:v>ログイン</x:v>
      </x:c>
      <x:c r="D15" s="44" t="str">
        <x:v>パスワード未入力</x:v>
      </x:c>
      <x:c r="E15" s="44" t="str">
        <x:v>delivery_userテーブルに user_id='yamada'、password='yamada' が登録済み</x:v>
      </x:c>
      <x:c r="F15" s="44" t="str">
        <x:v>IDに'yamada'、パスワードを空欄にしてログインボタンを押す</x:v>
      </x:c>
      <x:c r="G15" s="44" t="str">
        <x:v>ログイン画面に戻りエラーメッセージが表示される</x:v>
      </x:c>
      <x:c r="H15" s="48" t="str"/>
      <x:c r="I15" s="46" t="str">
        <x:v>大祥田</x:v>
      </x:c>
      <x:c r="J15" s="46" t="str"/>
      <x:c r="K15" s="44" t="str"/>
    </x:row>
    <x:row r="16" ht="54" customHeight="1">
      <x:c r="A16" s="46" t="n">
        <x:v>4</x:v>
      </x:c>
      <x:c r="B16" s="44" t="str">
        <x:v>異常系</x:v>
      </x:c>
      <x:c r="C16" s="44" t="str">
        <x:v>ログイン</x:v>
      </x:c>
      <x:c r="D16" s="44" t="str">
        <x:v>ID不一致</x:v>
      </x:c>
      <x:c r="E16" s="44" t="str">
        <x:v>delivery_userテーブルに user_id='yamada'、password='yamada' が登録済み</x:v>
      </x:c>
      <x:c r="F16" s="44" t="str">
        <x:v>IDに'aaaaaa'、パスワードに'yamada'を入力してログインボタンを押す</x:v>
      </x:c>
      <x:c r="G16" s="44" t="str">
        <x:v>ログインに失敗し、セッションが作成されない</x:v>
      </x:c>
      <x:c r="H16" s="48" t="str"/>
      <x:c r="I16" s="46" t="str">
        <x:v>大祥田</x:v>
      </x:c>
      <x:c r="J16" s="46" t="str"/>
      <x:c r="K16" s="44" t="str"/>
    </x:row>
    <x:row r="17" ht="54" customHeight="1">
      <x:c r="A17" s="46" t="n">
        <x:v>5</x:v>
      </x:c>
      <x:c r="B17" s="44" t="str">
        <x:v>異常系</x:v>
      </x:c>
      <x:c r="C17" s="44" t="str">
        <x:v>ログイン</x:v>
      </x:c>
      <x:c r="D17" s="44" t="str">
        <x:v>パスワード不一致</x:v>
      </x:c>
      <x:c r="E17" s="44" t="str">
        <x:v>delivery_userテーブルに user_id='yamada'、password='yamada' が登録済み</x:v>
      </x:c>
      <x:c r="F17" s="44" t="str">
        <x:v>IDに'yamada'、パスワードに'aaaaaa'を入力してログインボタンを押す</x:v>
      </x:c>
      <x:c r="G17" s="44" t="str">
        <x:v>ログインに失敗し、ログイン画面に留まる</x:v>
      </x:c>
      <x:c r="H17" s="48" t="str"/>
      <x:c r="I17" s="46" t="str">
        <x:v>大祥田</x:v>
      </x:c>
      <x:c r="J17" s="46" t="str"/>
      <x:c r="K17" s="44" t="str"/>
    </x:row>
    <x:row r="18" ht="54" customHeight="1">
      <x:c r="A18" s="46" t="n">
        <x:v>6</x:v>
      </x:c>
      <x:c r="B18" s="44" t="str">
        <x:v>異常系</x:v>
      </x:c>
      <x:c r="C18" s="44" t="str">
        <x:v>ログイン</x:v>
      </x:c>
      <x:c r="D18" s="44" t="str">
        <x:v>両方不一致</x:v>
      </x:c>
      <x:c r="E18" s="44" t="str">
        <x:v>delivery_userテーブルに user_id='yamada'、password='yamada' が登録済み</x:v>
      </x:c>
      <x:c r="F18" s="44" t="str">
        <x:v>IDに'aaaaaa'、パスワードに'bbbbbb'を入力してログインボタンを押す</x:v>
      </x:c>
      <x:c r="G18" s="44" t="str">
        <x:v>ログインに失敗し、ログイン画面に留まる</x:v>
      </x:c>
      <x:c r="H18" s="48" t="str"/>
      <x:c r="I18" s="46" t="str">
        <x:v>大祥田</x:v>
      </x:c>
      <x:c r="J18" s="46" t="str"/>
      <x:c r="K18" s="44" t="str"/>
    </x:row>
    <x:row r="19" ht="54" customHeight="1">
      <x:c r="A19" s="46" t="n">
        <x:v>7</x:v>
      </x:c>
      <x:c r="B19" s="44" t="str">
        <x:v>異常系</x:v>
      </x:c>
      <x:c r="C19" s="44" t="str">
        <x:v>ログイン</x:v>
      </x:c>
      <x:c r="D19" s="44" t="str">
        <x:v>前後空白</x:v>
      </x:c>
      <x:c r="E19" s="44" t="str">
        <x:v>delivery_userテーブルに user_id='yamada'、password='yamada' が登録済み</x:v>
      </x:c>
      <x:c r="F19" s="44" t="str">
        <x:v>IDに' yamada '、パスワードに' yamada 'を入力してログインボタンを押す</x:v>
      </x:c>
      <x:c r="G19" s="44" t="str">
        <x:v>trim仕様の場合はログイン成功、trimしない仕様の場合は失敗する。仕様通りであること</x:v>
      </x:c>
      <x:c r="H19" s="48" t="str"/>
      <x:c r="I19" s="46" t="str">
        <x:v>大祥田</x:v>
      </x:c>
      <x:c r="J19" s="46" t="str"/>
      <x:c r="K19" s="44" t="str"/>
    </x:row>
    <x:row r="20" ht="54" customHeight="1">
      <x:c r="A20" s="46" t="n">
        <x:v>8</x:v>
      </x:c>
      <x:c r="B20" s="44" t="str">
        <x:v>異常系</x:v>
      </x:c>
      <x:c r="C20" s="44" t="str">
        <x:v>ログイン</x:v>
      </x:c>
      <x:c r="D20" s="44" t="str">
        <x:v>大文字小文字</x:v>
      </x:c>
      <x:c r="E20" s="44" t="str">
        <x:v>delivery_userテーブルに user_id='yamada'、password='yamada' が登録済み</x:v>
      </x:c>
      <x:c r="F20" s="44" t="str">
        <x:v>IDに'YAMADA'、パスワードに'yamada'を入力してログインボタンを押す</x:v>
      </x:c>
      <x:c r="G20" s="44" t="str">
        <x:v>IDが大文字小文字を区別する場合はログイン失敗となる</x:v>
      </x:c>
      <x:c r="H20" s="48" t="str"/>
      <x:c r="I20" s="46" t="str">
        <x:v>大祥田</x:v>
      </x:c>
      <x:c r="J20" s="46" t="str"/>
      <x:c r="K20" s="44" t="str"/>
    </x:row>
    <x:row r="21" ht="54" customHeight="1">
      <x:c r="A21" s="46" t="n">
        <x:v>9</x:v>
      </x:c>
      <x:c r="B21" s="44" t="str">
        <x:v>異常系</x:v>
      </x:c>
      <x:c r="C21" s="44" t="str">
        <x:v>ログイン</x:v>
      </x:c>
      <x:c r="D21" s="44" t="str">
        <x:v>SQLインジェクション</x:v>
      </x:c>
      <x:c r="E21" s="44" t="str">
        <x:v>delivery_userテーブルに user_id='yamada'、password='yamada' が登録済み</x:v>
      </x:c>
      <x:c r="F21" s="44" t="str">
        <x:v>IDに「' OR '1'='1」、パスワードに任意文字を入力する</x:v>
      </x:c>
      <x:c r="G21" s="44" t="str">
        <x:v>ログインできず、SQLエラー画面が表示されない</x:v>
      </x:c>
      <x:c r="H21" s="48" t="str"/>
      <x:c r="I21" s="46" t="str">
        <x:v>大祥田</x:v>
      </x:c>
      <x:c r="J21" s="46" t="str"/>
      <x:c r="K21" s="44" t="str"/>
    </x:row>
    <x:row r="22" ht="54" customHeight="1">
      <x:c r="A22" s="46" t="n">
        <x:v>10</x:v>
      </x:c>
      <x:c r="B22" s="44" t="str">
        <x:v>異常系</x:v>
      </x:c>
      <x:c r="C22" s="44" t="str">
        <x:v>ログイン</x:v>
      </x:c>
      <x:c r="D22" s="44" t="str">
        <x:v>XSS</x:v>
      </x:c>
      <x:c r="E22" s="44" t="str">
        <x:v>delivery_userテーブルに user_id='yamada'、password='yamada' が登録済み</x:v>
      </x:c>
      <x:c r="F22" s="44" t="str">
        <x:v>IDに「&lt;script&gt;alert(1)&lt;/script&gt;」を入力してログインする</x:v>
      </x:c>
      <x:c r="G22" s="44" t="str">
        <x:v>スクリプトが実行されず、エラー表示される</x:v>
      </x:c>
      <x:c r="H22" s="48" t="str"/>
      <x:c r="I22" s="46" t="str">
        <x:v>大祥田</x:v>
      </x:c>
      <x:c r="J22" s="46" t="str"/>
      <x:c r="K22" s="44" t="str"/>
    </x:row>
    <x:row r="23" ht="54" customHeight="1">
      <x:c r="A23" s="46" t="n">
        <x:v>11</x:v>
      </x:c>
      <x:c r="B23" s="44" t="str">
        <x:v>正常系</x:v>
      </x:c>
      <x:c r="C23" s="44" t="str">
        <x:v>ログイン</x:v>
      </x:c>
      <x:c r="D23" s="44" t="str">
        <x:v>ログイン済み再アクセス</x:v>
      </x:c>
      <x:c r="E23" s="44" t="str">
        <x:v>user_id='226005'としてログイン済み</x:v>
      </x:c>
      <x:c r="F23" s="44" t="str">
        <x:v>ログイン済み状態でログイン画面URLを直接入力する</x:v>
      </x:c>
      <x:c r="G23" s="44" t="str">
        <x:v>トップまたは配送情報検索画面へリダイレクトされる</x:v>
      </x:c>
      <x:c r="H23" s="48" t="str"/>
      <x:c r="I23" s="46" t="str">
        <x:v>大祥田</x:v>
      </x:c>
      <x:c r="J23" s="46" t="str"/>
      <x:c r="K23" s="44" t="str"/>
    </x:row>
    <x:row r="24" ht="54" customHeight="1">
      <x:c r="A24" s="46" t="n">
        <x:v>12</x:v>
      </x:c>
      <x:c r="B24" s="44" t="str">
        <x:v>正常系</x:v>
      </x:c>
      <x:c r="C24" s="44" t="str">
        <x:v>ログアウト</x:v>
      </x:c>
      <x:c r="D24" s="44" t="str">
        <x:v>ボタン表示</x:v>
      </x:c>
      <x:c r="E24" s="44" t="str">
        <x:v>user_id='226005'としてログイン済み</x:v>
      </x:c>
      <x:c r="F24" s="44" t="str">
        <x:v>ヘッダーのログアウトボタンを確認する</x:v>
      </x:c>
      <x:c r="G24" s="44" t="str">
        <x:v>ログアウトボタンが表示される</x:v>
      </x:c>
      <x:c r="H24" s="48" t="str"/>
      <x:c r="I24" s="46" t="str">
        <x:v>大祥田</x:v>
      </x:c>
      <x:c r="J24" s="46" t="str"/>
      <x:c r="K24" s="44" t="str"/>
    </x:row>
    <x:row r="25" ht="54" customHeight="1">
      <x:c r="A25" s="46" t="n">
        <x:v>13</x:v>
      </x:c>
      <x:c r="B25" s="44" t="str">
        <x:v>正常系</x:v>
      </x:c>
      <x:c r="C25" s="44" t="str">
        <x:v>ログアウト</x:v>
      </x:c>
      <x:c r="D25" s="44" t="str">
        <x:v>処理</x:v>
      </x:c>
      <x:c r="E25" s="44" t="str">
        <x:v>user_id='226005'としてログイン済み</x:v>
      </x:c>
      <x:c r="F25" s="44" t="str">
        <x:v>ログアウトボタンを押す</x:v>
      </x:c>
      <x:c r="G25" s="44" t="str">
        <x:v>セッションが破棄され、ログイン画面へ遷移する</x:v>
      </x:c>
      <x:c r="H25" s="48" t="str"/>
      <x:c r="I25" s="46" t="str">
        <x:v>大祥田</x:v>
      </x:c>
      <x:c r="J25" s="46" t="str"/>
      <x:c r="K25" s="44" t="str"/>
    </x:row>
    <x:row r="26" ht="54" customHeight="1">
      <x:c r="A26" s="46" t="n">
        <x:v>14</x:v>
      </x:c>
      <x:c r="B26" s="44" t="str">
        <x:v>異常系</x:v>
      </x:c>
      <x:c r="C26" s="44" t="str">
        <x:v>ログアウト</x:v>
      </x:c>
      <x:c r="D26" s="44" t="str">
        <x:v>ログアウト後戻る</x:v>
      </x:c>
      <x:c r="E26" s="44" t="str">
        <x:v>user_id='226005'としてログイン済み</x:v>
      </x:c>
      <x:c r="F26" s="44" t="str">
        <x:v>ログアウト後にブラウザの戻るボタンを押す</x:v>
      </x:c>
      <x:c r="G26" s="44" t="str">
        <x:v>ログイン後画面の内容が操作できず、ログイン画面へ戻される</x:v>
      </x:c>
      <x:c r="H26" s="48" t="str"/>
      <x:c r="I26" s="46" t="str">
        <x:v>大祥田</x:v>
      </x:c>
      <x:c r="J26" s="46" t="str"/>
      <x:c r="K26" s="44" t="str"/>
    </x:row>
    <x:row r="27" ht="54" customHeight="1">
      <x:c r="A27" s="46" t="n">
        <x:v>15</x:v>
      </x:c>
      <x:c r="B27" s="44" t="str">
        <x:v>異常系</x:v>
      </x:c>
      <x:c r="C27" s="44" t="str">
        <x:v>ログアウト</x:v>
      </x:c>
      <x:c r="D27" s="44" t="str">
        <x:v>URL直打ち</x:v>
      </x:c>
      <x:c r="E27" s="44" t="str">
        <x:v>未ログイン状態</x:v>
      </x:c>
      <x:c r="F27" s="44" t="str">
        <x:v>ログアウトURLを直接入力する</x:v>
      </x:c>
      <x:c r="G27" s="44" t="str">
        <x:v>エラーにならず、ログイン画面へ遷移する</x:v>
      </x:c>
      <x:c r="H27" s="48" t="str"/>
      <x:c r="I27" s="46" t="str">
        <x:v>大祥田</x:v>
      </x:c>
      <x:c r="J27" s="46" t="str"/>
      <x:c r="K27" s="44" t="str"/>
    </x:row>
    <x:row r="28" ht="54" customHeight="1">
      <x:c r="A28" s="46" t="n">
        <x:v>16</x:v>
      </x:c>
      <x:c r="B28" s="44" t="str">
        <x:v>正常系</x:v>
      </x:c>
      <x:c r="C28" s="44" t="str">
        <x:v>セッション</x:v>
      </x:c>
      <x:c r="D28" s="44" t="str">
        <x:v>ログイン情報保持</x:v>
      </x:c>
      <x:c r="E28" s="44" t="str">
        <x:v>user_id='226005'としてログイン済み</x:v>
      </x:c>
      <x:c r="F28" s="44" t="str">
        <x:v>任意のログイン後画面に遷移する</x:v>
      </x:c>
      <x:c r="G28" s="44" t="str">
        <x:v>セッションのログインユーザ情報が保持される</x:v>
      </x:c>
      <x:c r="H28" s="48" t="str"/>
      <x:c r="I28" s="46" t="str">
        <x:v>大祥田</x:v>
      </x:c>
      <x:c r="J28" s="46" t="str"/>
      <x:c r="K28" s="44" t="str"/>
    </x:row>
    <x:row r="29" ht="54" customHeight="1">
      <x:c r="A29" s="46" t="n">
        <x:v>17</x:v>
      </x:c>
      <x:c r="B29" s="44" t="str">
        <x:v>異常系</x:v>
      </x:c>
      <x:c r="C29" s="44" t="str">
        <x:v>セッション</x:v>
      </x:c>
      <x:c r="D29" s="44" t="str">
        <x:v>未ログインアクセス</x:v>
      </x:c>
      <x:c r="E29" s="44" t="str">
        <x:v>未ログイン状態</x:v>
      </x:c>
      <x:c r="F29" s="44" t="str">
        <x:v>配送依頼画面URLを直接入力する</x:v>
      </x:c>
      <x:c r="G29" s="44" t="str">
        <x:v>ログイン画面へリダイレクトされる</x:v>
      </x:c>
      <x:c r="H29" s="48" t="str"/>
      <x:c r="I29" s="46" t="str">
        <x:v>大祥田</x:v>
      </x:c>
      <x:c r="J29" s="46" t="str"/>
      <x:c r="K29" s="44" t="str"/>
    </x:row>
    <x:row r="30" ht="54" customHeight="1">
      <x:c r="A30" s="46" t="n">
        <x:v>18</x:v>
      </x:c>
      <x:c r="B30" s="44" t="str">
        <x:v>異常系</x:v>
      </x:c>
      <x:c r="C30" s="44" t="str">
        <x:v>セッション</x:v>
      </x:c>
      <x:c r="D30" s="44" t="str">
        <x:v>期限切れ</x:v>
      </x:c>
      <x:c r="E30" s="44" t="str">
        <x:v>ログイン後、セッションを無効化する</x:v>
      </x:c>
      <x:c r="F30" s="44" t="str">
        <x:v>配送依頼ボタンを押す</x:v>
      </x:c>
      <x:c r="G30" s="44" t="str">
        <x:v>ログイン画面へリダイレクトされる</x:v>
      </x:c>
      <x:c r="H30" s="48" t="str"/>
      <x:c r="I30" s="46" t="str">
        <x:v>大祥田</x:v>
      </x:c>
      <x:c r="J30" s="46" t="str"/>
      <x:c r="K30" s="44" t="str"/>
    </x:row>
    <x:row r="31" ht="54" customHeight="1">
      <x:c r="A31" s="46" t="n">
        <x:v>19</x:v>
      </x:c>
      <x:c r="B31" s="44" t="str">
        <x:v>正常系</x:v>
      </x:c>
      <x:c r="C31" s="44" t="str">
        <x:v>セッション</x:v>
      </x:c>
      <x:c r="D31" s="44" t="str">
        <x:v>二重ログイン</x:v>
      </x:c>
      <x:c r="E31" s="44" t="str">
        <x:v>delivery_userテーブルに user_id='yamada'、password='yamada' が登録済み</x:v>
      </x:c>
      <x:c r="F31" s="44" t="str">
        <x:v>同一ブラウザでログイン後、別タブで同じ画面を開く</x:v>
      </x:c>
      <x:c r="G31" s="44" t="str">
        <x:v>両タブでログイン状態として表示される</x:v>
      </x:c>
      <x:c r="H31" s="48" t="str"/>
      <x:c r="I31" s="46" t="str">
        <x:v>大祥田</x:v>
      </x:c>
      <x:c r="J31" s="46" t="str"/>
      <x:c r="K31" s="44" t="str"/>
    </x:row>
    <x:row r="32" ht="54" customHeight="1">
      <x:c r="A32" s="46" t="n">
        <x:v>20</x:v>
      </x:c>
      <x:c r="B32" s="44" t="str">
        <x:v>異常系</x:v>
      </x:c>
      <x:c r="C32" s="44" t="str">
        <x:v>セッション</x:v>
      </x:c>
      <x:c r="D32" s="44" t="str">
        <x:v>権限違い</x:v>
      </x:c>
      <x:c r="E32" s="44" t="str">
        <x:v>顧客ユーザでログイン済み</x:v>
      </x:c>
      <x:c r="F32" s="44" t="str">
        <x:v>配達員用画面URLを直接入力する</x:v>
      </x:c>
      <x:c r="G32" s="44" t="str">
        <x:v>権限外の場合はアクセス不可または顧客用画面へ遷移する</x:v>
      </x:c>
      <x:c r="H32" s="48" t="str"/>
      <x:c r="I32" s="46" t="str">
        <x:v>大祥田</x:v>
      </x:c>
      <x:c r="J32" s="46" t="str"/>
      <x:c r="K32" s="44" t="str"/>
    </x:row>
    <x:row r="33" ht="54" customHeight="1">
      <x:c r="A33" s="46" t="n">
        <x:v>21</x:v>
      </x:c>
      <x:c r="B33" s="44" t="str">
        <x:v>正常系</x:v>
      </x:c>
      <x:c r="C33" s="44" t="str">
        <x:v>ヘッダー</x:v>
      </x:c>
      <x:c r="D33" s="44" t="str">
        <x:v>ユーザ名表示</x:v>
      </x:c>
      <x:c r="E33" s="44" t="str">
        <x:v>user_id='226005'としてログイン済み</x:v>
      </x:c>
      <x:c r="F33" s="44" t="str">
        <x:v>顧客トップ画面を表示する</x:v>
      </x:c>
      <x:c r="G33" s="44" t="str">
        <x:v>ヘッダーにログインユーザ名が表示される</x:v>
      </x:c>
      <x:c r="H33" s="48" t="str"/>
      <x:c r="I33" s="46" t="str">
        <x:v>康</x:v>
      </x:c>
      <x:c r="J33" s="46" t="str"/>
      <x:c r="K33" s="44" t="str"/>
    </x:row>
    <x:row r="34" ht="54" customHeight="1">
      <x:c r="A34" s="46" t="n">
        <x:v>22</x:v>
      </x:c>
      <x:c r="B34" s="44" t="str">
        <x:v>正常系</x:v>
      </x:c>
      <x:c r="C34" s="44" t="str">
        <x:v>ヘッダー</x:v>
      </x:c>
      <x:c r="D34" s="44" t="str">
        <x:v>ナビ表示</x:v>
      </x:c>
      <x:c r="E34" s="44" t="str">
        <x:v>user_id='226005'としてログイン済み</x:v>
      </x:c>
      <x:c r="F34" s="44" t="str">
        <x:v>ヘッダーのリンク表示を確認する</x:v>
      </x:c>
      <x:c r="G34" s="44" t="str">
        <x:v>トップ、配送依頼、配送情報検索、ログアウトのリンクが表示される</x:v>
      </x:c>
      <x:c r="H34" s="48" t="str"/>
      <x:c r="I34" s="46" t="str">
        <x:v>康</x:v>
      </x:c>
      <x:c r="J34" s="46" t="str"/>
      <x:c r="K34" s="44" t="str"/>
    </x:row>
    <x:row r="35" ht="54" customHeight="1">
      <x:c r="A35" s="46" t="n">
        <x:v>23</x:v>
      </x:c>
      <x:c r="B35" s="44" t="str">
        <x:v>正常系</x:v>
      </x:c>
      <x:c r="C35" s="44" t="str">
        <x:v>ヘッダー</x:v>
      </x:c>
      <x:c r="D35" s="44" t="str">
        <x:v>トップリンク</x:v>
      </x:c>
      <x:c r="E35" s="44" t="str">
        <x:v>user_id='226005'としてログイン済み</x:v>
      </x:c>
      <x:c r="F35" s="44" t="str">
        <x:v>ヘッダーのトップリンクを押す</x:v>
      </x:c>
      <x:c r="G35" s="44" t="str">
        <x:v>顧客トップ画面へ遷移する</x:v>
      </x:c>
      <x:c r="H35" s="48" t="str"/>
      <x:c r="I35" s="46" t="str">
        <x:v>康</x:v>
      </x:c>
      <x:c r="J35" s="46" t="str"/>
      <x:c r="K35" s="44" t="str"/>
    </x:row>
    <x:row r="36" ht="54" customHeight="1">
      <x:c r="A36" s="46" t="n">
        <x:v>24</x:v>
      </x:c>
      <x:c r="B36" s="44" t="str">
        <x:v>正常系</x:v>
      </x:c>
      <x:c r="C36" s="44" t="str">
        <x:v>ヘッダー</x:v>
      </x:c>
      <x:c r="D36" s="44" t="str">
        <x:v>配送依頼リンク</x:v>
      </x:c>
      <x:c r="E36" s="44" t="str">
        <x:v>user_id='226005'としてログイン済み</x:v>
      </x:c>
      <x:c r="F36" s="44" t="str">
        <x:v>ヘッダーの配送依頼リンクを押す</x:v>
      </x:c>
      <x:c r="G36" s="44" t="str">
        <x:v>配送依頼入力画面へ遷移する</x:v>
      </x:c>
      <x:c r="H36" s="48" t="str"/>
      <x:c r="I36" s="46" t="str">
        <x:v>康</x:v>
      </x:c>
      <x:c r="J36" s="46" t="str"/>
      <x:c r="K36" s="44" t="str"/>
    </x:row>
    <x:row r="37" ht="54" customHeight="1">
      <x:c r="A37" s="46" t="n">
        <x:v>25</x:v>
      </x:c>
      <x:c r="B37" s="44" t="str">
        <x:v>正常系</x:v>
      </x:c>
      <x:c r="C37" s="44" t="str">
        <x:v>ヘッダー</x:v>
      </x:c>
      <x:c r="D37" s="44" t="str">
        <x:v>配送情報検索リンク</x:v>
      </x:c>
      <x:c r="E37" s="44" t="str">
        <x:v>user_id='226005'としてログイン済み</x:v>
      </x:c>
      <x:c r="F37" s="44" t="str">
        <x:v>ヘッダーの配送情報検索リンクを押す</x:v>
      </x:c>
      <x:c r="G37" s="44" t="str">
        <x:v>配送情報検索画面へ遷移する</x:v>
      </x:c>
      <x:c r="H37" s="48" t="str"/>
      <x:c r="I37" s="46" t="str">
        <x:v>康</x:v>
      </x:c>
      <x:c r="J37" s="46" t="str"/>
      <x:c r="K37" s="44" t="str"/>
    </x:row>
    <x:row r="38" ht="54" customHeight="1">
      <x:c r="A38" s="46" t="n">
        <x:v>26</x:v>
      </x:c>
      <x:c r="B38" s="44" t="str">
        <x:v>正常系</x:v>
      </x:c>
      <x:c r="C38" s="44" t="str">
        <x:v>ヘッダー</x:v>
      </x:c>
      <x:c r="D38" s="44" t="str">
        <x:v>ログアウトリンク</x:v>
      </x:c>
      <x:c r="E38" s="44" t="str">
        <x:v>user_id='226005'としてログイン済み</x:v>
      </x:c>
      <x:c r="F38" s="44" t="str">
        <x:v>ヘッダーのログアウトリンクを押す</x:v>
      </x:c>
      <x:c r="G38" s="44" t="str">
        <x:v>ログイン画面へ遷移する</x:v>
      </x:c>
      <x:c r="H38" s="48" t="str"/>
      <x:c r="I38" s="46" t="str">
        <x:v>康</x:v>
      </x:c>
      <x:c r="J38" s="46" t="str"/>
      <x:c r="K38" s="44" t="str"/>
    </x:row>
    <x:row r="39" ht="54" customHeight="1">
      <x:c r="A39" s="46" t="n">
        <x:v>27</x:v>
      </x:c>
      <x:c r="B39" s="44" t="str">
        <x:v>正常系</x:v>
      </x:c>
      <x:c r="C39" s="44" t="str">
        <x:v>ヘッダー</x:v>
      </x:c>
      <x:c r="D39" s="44" t="str">
        <x:v>全画面共通表示</x:v>
      </x:c>
      <x:c r="E39" s="44" t="str">
        <x:v>user_id='226005'としてログイン済み</x:v>
      </x:c>
      <x:c r="F39" s="44" t="str">
        <x:v>顧客トップ、配送依頼、確認、完了画面を順に表示する</x:v>
      </x:c>
      <x:c r="G39" s="44" t="str">
        <x:v>各画面で同じヘッダーが表示される</x:v>
      </x:c>
      <x:c r="H39" s="48" t="str"/>
      <x:c r="I39" s="46" t="str">
        <x:v>康</x:v>
      </x:c>
      <x:c r="J39" s="46" t="str"/>
      <x:c r="K39" s="44" t="str"/>
    </x:row>
    <x:row r="40" ht="54" customHeight="1">
      <x:c r="A40" s="46" t="n">
        <x:v>28</x:v>
      </x:c>
      <x:c r="B40" s="44" t="str">
        <x:v>正常系</x:v>
      </x:c>
      <x:c r="C40" s="44" t="str">
        <x:v>ヘッダー</x:v>
      </x:c>
      <x:c r="D40" s="44" t="str">
        <x:v>現在画面</x:v>
      </x:c>
      <x:c r="E40" s="44" t="str">
        <x:v>user_id='226005'としてログイン済み</x:v>
      </x:c>
      <x:c r="F40" s="44" t="str">
        <x:v>配送依頼画面を表示する</x:v>
      </x:c>
      <x:c r="G40" s="44" t="str">
        <x:v>現在の画面が分かる表示またはリンクが正しく表示される</x:v>
      </x:c>
      <x:c r="H40" s="48" t="str"/>
      <x:c r="I40" s="46" t="str">
        <x:v>康</x:v>
      </x:c>
      <x:c r="J40" s="46" t="str"/>
      <x:c r="K40" s="44" t="str"/>
    </x:row>
    <x:row r="41" ht="54" customHeight="1">
      <x:c r="A41" s="46" t="n">
        <x:v>29</x:v>
      </x:c>
      <x:c r="B41" s="44" t="str">
        <x:v>異常系</x:v>
      </x:c>
      <x:c r="C41" s="44" t="str">
        <x:v>ヘッダー</x:v>
      </x:c>
      <x:c r="D41" s="44" t="str">
        <x:v>未ログイン表示</x:v>
      </x:c>
      <x:c r="E41" s="44" t="str">
        <x:v>未ログイン状態</x:v>
      </x:c>
      <x:c r="F41" s="44" t="str">
        <x:v>ログイン前画面を表示する</x:v>
      </x:c>
      <x:c r="G41" s="44" t="str">
        <x:v>ログインユーザ名やログアウトボタンが不正に表示されない</x:v>
      </x:c>
      <x:c r="H41" s="48" t="str"/>
      <x:c r="I41" s="46" t="str">
        <x:v>康</x:v>
      </x:c>
      <x:c r="J41" s="46" t="str"/>
      <x:c r="K41" s="44" t="str"/>
    </x:row>
    <x:row r="42" ht="54" customHeight="1">
      <x:c r="A42" s="46" t="n">
        <x:v>30</x:v>
      </x:c>
      <x:c r="B42" s="44" t="str">
        <x:v>異常系</x:v>
      </x:c>
      <x:c r="C42" s="44" t="str">
        <x:v>ヘッダー</x:v>
      </x:c>
      <x:c r="D42" s="44" t="str">
        <x:v>ユーザ名XSS</x:v>
      </x:c>
      <x:c r="E42" s="44" t="str">
        <x:v>ユーザ名にHTMLタグを含むテストデータを用意してログイン済み</x:v>
      </x:c>
      <x:c r="F42" s="44" t="str">
        <x:v>ヘッダーを表示する</x:v>
      </x:c>
      <x:c r="G42" s="44" t="str">
        <x:v>タグが文字列として表示され、スクリプトが実行されない</x:v>
      </x:c>
      <x:c r="H42" s="48" t="str"/>
      <x:c r="I42" s="46" t="str">
        <x:v>康</x:v>
      </x:c>
      <x:c r="J42" s="46" t="str"/>
      <x:c r="K42" s="44" t="str"/>
    </x:row>
    <x:row r="43" ht="54" customHeight="1">
      <x:c r="A43" s="46" t="n">
        <x:v>31</x:v>
      </x:c>
      <x:c r="B43" s="44" t="str">
        <x:v>正常系</x:v>
      </x:c>
      <x:c r="C43" s="44" t="str">
        <x:v>ヘッダー</x:v>
      </x:c>
      <x:c r="D43" s="44" t="str">
        <x:v>レイアウト</x:v>
      </x:c>
      <x:c r="E43" s="44" t="str">
        <x:v>user_id='226005'としてログイン済み</x:v>
      </x:c>
      <x:c r="F43" s="44" t="str">
        <x:v>画面幅を通常サイズで表示する</x:v>
      </x:c>
      <x:c r="G43" s="44" t="str">
        <x:v>ヘッダーの文字やボタンが重ならない</x:v>
      </x:c>
      <x:c r="H43" s="48" t="str"/>
      <x:c r="I43" s="46" t="str">
        <x:v>康</x:v>
      </x:c>
      <x:c r="J43" s="46" t="str"/>
      <x:c r="K43" s="44" t="str"/>
    </x:row>
    <x:row r="44" ht="54" customHeight="1">
      <x:c r="A44" s="46" t="n">
        <x:v>32</x:v>
      </x:c>
      <x:c r="B44" s="44" t="str">
        <x:v>正常系</x:v>
      </x:c>
      <x:c r="C44" s="44" t="str">
        <x:v>ヘッダー</x:v>
      </x:c>
      <x:c r="D44" s="44" t="str">
        <x:v>スマホ幅</x:v>
      </x:c>
      <x:c r="E44" s="44" t="str">
        <x:v>user_id='226005'としてログイン済み</x:v>
      </x:c>
      <x:c r="F44" s="44" t="str">
        <x:v>ブラウザ幅を狭くして表示する</x:v>
      </x:c>
      <x:c r="G44" s="44" t="str">
        <x:v>ヘッダーのリンクが極端に崩れない</x:v>
      </x:c>
      <x:c r="H44" s="48" t="str"/>
      <x:c r="I44" s="46" t="str">
        <x:v>康</x:v>
      </x:c>
      <x:c r="J44" s="46" t="str"/>
      <x:c r="K44" s="44" t="str"/>
    </x:row>
    <x:row r="45" ht="54" customHeight="1">
      <x:c r="A45" s="46" t="n">
        <x:v>33</x:v>
      </x:c>
      <x:c r="B45" s="44" t="str">
        <x:v>正常系</x:v>
      </x:c>
      <x:c r="C45" s="44" t="str">
        <x:v>ヘッダー</x:v>
      </x:c>
      <x:c r="D45" s="44" t="str">
        <x:v>戻る操作</x:v>
      </x:c>
      <x:c r="E45" s="44" t="str">
        <x:v>user_id='226005'としてログイン済み</x:v>
      </x:c>
      <x:c r="F45" s="44" t="str">
        <x:v>ヘッダーで遷移後に戻るボタンを押す</x:v>
      </x:c>
      <x:c r="G45" s="44" t="str">
        <x:v>戻った画面でもヘッダーが正しく表示される</x:v>
      </x:c>
      <x:c r="H45" s="48" t="str"/>
      <x:c r="I45" s="46" t="str">
        <x:v>康</x:v>
      </x:c>
      <x:c r="J45" s="46" t="str"/>
      <x:c r="K45" s="44" t="str"/>
    </x:row>
    <x:row r="46" ht="54" customHeight="1">
      <x:c r="A46" s="46" t="n">
        <x:v>34</x:v>
      </x:c>
      <x:c r="B46" s="44" t="str">
        <x:v>正常系</x:v>
      </x:c>
      <x:c r="C46" s="44" t="str">
        <x:v>ヘッダー</x:v>
      </x:c>
      <x:c r="D46" s="44" t="str">
        <x:v>URL確認</x:v>
      </x:c>
      <x:c r="E46" s="44" t="str">
        <x:v>user_id='226005'としてログイン済み</x:v>
      </x:c>
      <x:c r="F46" s="44" t="str">
        <x:v>各ヘッダーリンクの遷移先URLを確認する</x:v>
      </x:c>
      <x:c r="G46" s="44" t="str">
        <x:v>各URLが設計通りである</x:v>
      </x:c>
      <x:c r="H46" s="48" t="str"/>
      <x:c r="I46" s="46" t="str">
        <x:v>康</x:v>
      </x:c>
      <x:c r="J46" s="46" t="str"/>
      <x:c r="K46" s="44" t="str"/>
    </x:row>
    <x:row r="47" ht="54" customHeight="1">
      <x:c r="A47" s="46" t="n">
        <x:v>35</x:v>
      </x:c>
      <x:c r="B47" s="44" t="str">
        <x:v>異常系</x:v>
      </x:c>
      <x:c r="C47" s="44" t="str">
        <x:v>ヘッダー</x:v>
      </x:c>
      <x:c r="D47" s="44" t="str">
        <x:v>リンク改ざん</x:v>
      </x:c>
      <x:c r="E47" s="44" t="str">
        <x:v>user_id='226005'としてログイン済み</x:v>
      </x:c>
      <x:c r="F47" s="44" t="str">
        <x:v>開発者ツール等でリンク値を不正URLに変更して操作する</x:v>
      </x:c>
      <x:c r="G47" s="44" t="str">
        <x:v>アプリ外の不正操作による重大エラーが発生しない</x:v>
      </x:c>
      <x:c r="H47" s="48" t="str"/>
      <x:c r="I47" s="46" t="str">
        <x:v>康</x:v>
      </x:c>
      <x:c r="J47" s="46" t="str"/>
      <x:c r="K47" s="44" t="str"/>
    </x:row>
    <x:row r="48" ht="54" customHeight="1">
      <x:c r="A48" s="46" t="n">
        <x:v>36</x:v>
      </x:c>
      <x:c r="B48" s="44" t="str">
        <x:v>正常系</x:v>
      </x:c>
      <x:c r="C48" s="44" t="str">
        <x:v>顧客トップ画面</x:v>
      </x:c>
      <x:c r="D48" s="44" t="str">
        <x:v>初期表示</x:v>
      </x:c>
      <x:c r="E48" s="44" t="str">
        <x:v>user_id='226005'としてログイン済み</x:v>
      </x:c>
      <x:c r="F48" s="44" t="str">
        <x:v>顧客トップ画面を表示する</x:v>
      </x:c>
      <x:c r="G48" s="44" t="str">
        <x:v>画面タイトル、ヘッダー、各ボタンが表示される</x:v>
      </x:c>
      <x:c r="H48" s="48" t="str"/>
      <x:c r="I48" s="46" t="str">
        <x:v>康</x:v>
      </x:c>
      <x:c r="J48" s="46" t="str"/>
      <x:c r="K48" s="44" t="str"/>
    </x:row>
    <x:row r="49" ht="54" customHeight="1">
      <x:c r="A49" s="46" t="n">
        <x:v>37</x:v>
      </x:c>
      <x:c r="B49" s="44" t="str">
        <x:v>正常系</x:v>
      </x:c>
      <x:c r="C49" s="44" t="str">
        <x:v>顧客トップ画面</x:v>
      </x:c>
      <x:c r="D49" s="44" t="str">
        <x:v>配送依頼ボタン</x:v>
      </x:c>
      <x:c r="E49" s="44" t="str">
        <x:v>user_id='226005'としてログイン済み</x:v>
      </x:c>
      <x:c r="F49" s="44" t="str">
        <x:v>配送依頼ボタンを押す</x:v>
      </x:c>
      <x:c r="G49" s="44" t="str">
        <x:v>配送依頼入力画面へ遷移する</x:v>
      </x:c>
      <x:c r="H49" s="48" t="str"/>
      <x:c r="I49" s="46" t="str">
        <x:v>康</x:v>
      </x:c>
      <x:c r="J49" s="46" t="str"/>
      <x:c r="K49" s="44" t="str"/>
    </x:row>
    <x:row r="50" ht="54" customHeight="1">
      <x:c r="A50" s="46" t="n">
        <x:v>38</x:v>
      </x:c>
      <x:c r="B50" s="44" t="str">
        <x:v>正常系</x:v>
      </x:c>
      <x:c r="C50" s="44" t="str">
        <x:v>顧客トップ画面</x:v>
      </x:c>
      <x:c r="D50" s="44" t="str">
        <x:v>配送情報検索ボタン</x:v>
      </x:c>
      <x:c r="E50" s="44" t="str">
        <x:v>user_id='226005'としてログイン済み</x:v>
      </x:c>
      <x:c r="F50" s="44" t="str">
        <x:v>配送情報検索ボタンを押す</x:v>
      </x:c>
      <x:c r="G50" s="44" t="str">
        <x:v>配送情報検索画面へ遷移する</x:v>
      </x:c>
      <x:c r="H50" s="48" t="str"/>
      <x:c r="I50" s="46" t="str">
        <x:v>康</x:v>
      </x:c>
      <x:c r="J50" s="46" t="str"/>
      <x:c r="K50" s="44" t="str"/>
    </x:row>
    <x:row r="51" ht="54" customHeight="1">
      <x:c r="A51" s="46" t="n">
        <x:v>39</x:v>
      </x:c>
      <x:c r="B51" s="44" t="str">
        <x:v>正常系</x:v>
      </x:c>
      <x:c r="C51" s="44" t="str">
        <x:v>顧客トップ画面</x:v>
      </x:c>
      <x:c r="D51" s="44" t="str">
        <x:v>ログアウト</x:v>
      </x:c>
      <x:c r="E51" s="44" t="str">
        <x:v>user_id='226005'としてログイン済み</x:v>
      </x:c>
      <x:c r="F51" s="44" t="str">
        <x:v>ログアウトボタンを押す</x:v>
      </x:c>
      <x:c r="G51" s="44" t="str">
        <x:v>ログイン画面へ遷移する</x:v>
      </x:c>
      <x:c r="H51" s="48" t="str"/>
      <x:c r="I51" s="46" t="str">
        <x:v>康</x:v>
      </x:c>
      <x:c r="J51" s="46" t="str"/>
      <x:c r="K51" s="44" t="str"/>
    </x:row>
    <x:row r="52" ht="54" customHeight="1">
      <x:c r="A52" s="46" t="n">
        <x:v>40</x:v>
      </x:c>
      <x:c r="B52" s="44" t="str">
        <x:v>異常系</x:v>
      </x:c>
      <x:c r="C52" s="44" t="str">
        <x:v>顧客トップ画面</x:v>
      </x:c>
      <x:c r="D52" s="44" t="str">
        <x:v>未ログインアクセス</x:v>
      </x:c>
      <x:c r="E52" s="44" t="str">
        <x:v>未ログイン状態</x:v>
      </x:c>
      <x:c r="F52" s="44" t="str">
        <x:v>顧客トップURLを直接入力する</x:v>
      </x:c>
      <x:c r="G52" s="44" t="str">
        <x:v>ログイン画面へリダイレクトされる</x:v>
      </x:c>
      <x:c r="H52" s="48" t="str"/>
      <x:c r="I52" s="46" t="str">
        <x:v>康</x:v>
      </x:c>
      <x:c r="J52" s="46" t="str"/>
      <x:c r="K52" s="44" t="str"/>
    </x:row>
    <x:row r="53" ht="54" customHeight="1">
      <x:c r="A53" s="46" t="n">
        <x:v>41</x:v>
      </x:c>
      <x:c r="B53" s="44" t="str">
        <x:v>正常系</x:v>
      </x:c>
      <x:c r="C53" s="44" t="str">
        <x:v>顧客トップ画面</x:v>
      </x:c>
      <x:c r="D53" s="44" t="str">
        <x:v>担当者名表示</x:v>
      </x:c>
      <x:c r="E53" s="44" t="str">
        <x:v>user_id='226005'としてログイン済み</x:v>
      </x:c>
      <x:c r="F53" s="44" t="str">
        <x:v>顧客トップ画面を表示する</x:v>
      </x:c>
      <x:c r="G53" s="44" t="str">
        <x:v>ログイン中のユーザ情報が正しく表示される</x:v>
      </x:c>
      <x:c r="H53" s="48" t="str"/>
      <x:c r="I53" s="46" t="str">
        <x:v>康</x:v>
      </x:c>
      <x:c r="J53" s="46" t="str"/>
      <x:c r="K53" s="44" t="str"/>
    </x:row>
    <x:row r="54" ht="54" customHeight="1">
      <x:c r="A54" s="46" t="n">
        <x:v>42</x:v>
      </x:c>
      <x:c r="B54" s="44" t="str">
        <x:v>正常系</x:v>
      </x:c>
      <x:c r="C54" s="44" t="str">
        <x:v>顧客トップ画面</x:v>
      </x:c>
      <x:c r="D54" s="44" t="str">
        <x:v>再読込</x:v>
      </x:c>
      <x:c r="E54" s="44" t="str">
        <x:v>user_id='226005'としてログイン済み</x:v>
      </x:c>
      <x:c r="F54" s="44" t="str">
        <x:v>画面を再読み込みする</x:v>
      </x:c>
      <x:c r="G54" s="44" t="str">
        <x:v>同じ顧客トップ画面が表示される</x:v>
      </x:c>
      <x:c r="H54" s="48" t="str"/>
      <x:c r="I54" s="46" t="str">
        <x:v>康</x:v>
      </x:c>
      <x:c r="J54" s="46" t="str"/>
      <x:c r="K54" s="44" t="str"/>
    </x:row>
    <x:row r="55" ht="54" customHeight="1">
      <x:c r="A55" s="46" t="n">
        <x:v>43</x:v>
      </x:c>
      <x:c r="B55" s="44" t="str">
        <x:v>正常系</x:v>
      </x:c>
      <x:c r="C55" s="44" t="str">
        <x:v>顧客トップ画面</x:v>
      </x:c>
      <x:c r="D55" s="44" t="str">
        <x:v>ブラウザ戻る</x:v>
      </x:c>
      <x:c r="E55" s="44" t="str">
        <x:v>user_id='226005'としてログイン済み</x:v>
      </x:c>
      <x:c r="F55" s="44" t="str">
        <x:v>配送依頼画面へ移動後、戻るボタンを押す</x:v>
      </x:c>
      <x:c r="G55" s="44" t="str">
        <x:v>顧客トップ画面へ戻る</x:v>
      </x:c>
      <x:c r="H55" s="48" t="str"/>
      <x:c r="I55" s="46" t="str">
        <x:v>康</x:v>
      </x:c>
      <x:c r="J55" s="46" t="str"/>
      <x:c r="K55" s="44" t="str"/>
    </x:row>
    <x:row r="56" ht="54" customHeight="1">
      <x:c r="A56" s="46" t="n">
        <x:v>44</x:v>
      </x:c>
      <x:c r="B56" s="44" t="str">
        <x:v>正常系</x:v>
      </x:c>
      <x:c r="C56" s="44" t="str">
        <x:v>顧客トップ画面</x:v>
      </x:c>
      <x:c r="D56" s="44" t="str">
        <x:v>画面表示項目</x:v>
      </x:c>
      <x:c r="E56" s="44" t="str">
        <x:v>user_id='226005'としてログイン済み</x:v>
      </x:c>
      <x:c r="F56" s="44" t="str">
        <x:v>表示項目を確認する</x:v>
      </x:c>
      <x:c r="G56" s="44" t="str">
        <x:v>不要な管理者用メニューが表示されない</x:v>
      </x:c>
      <x:c r="H56" s="48" t="str"/>
      <x:c r="I56" s="46" t="str">
        <x:v>康</x:v>
      </x:c>
      <x:c r="J56" s="46" t="str"/>
      <x:c r="K56" s="44" t="str"/>
    </x:row>
    <x:row r="57" ht="54" customHeight="1">
      <x:c r="A57" s="46" t="n">
        <x:v>45</x:v>
      </x:c>
      <x:c r="B57" s="44" t="str">
        <x:v>正常系</x:v>
      </x:c>
      <x:c r="C57" s="44" t="str">
        <x:v>顧客トップ画面</x:v>
      </x:c>
      <x:c r="D57" s="44" t="str">
        <x:v>CSS適用</x:v>
      </x:c>
      <x:c r="E57" s="44" t="str">
        <x:v>user_id='226005'としてログイン済み</x:v>
      </x:c>
      <x:c r="F57" s="44" t="str">
        <x:v>画面を表示する</x:v>
      </x:c>
      <x:c r="G57" s="44" t="str">
        <x:v>指定したCSSが適用され、見た目が崩れない</x:v>
      </x:c>
      <x:c r="H57" s="48" t="str"/>
      <x:c r="I57" s="46" t="str">
        <x:v>康</x:v>
      </x:c>
      <x:c r="J57" s="46" t="str"/>
      <x:c r="K57" s="44" t="str"/>
    </x:row>
    <x:row r="58" ht="54" customHeight="1">
      <x:c r="A58" s="46" t="n">
        <x:v>46</x:v>
      </x:c>
      <x:c r="B58" s="44" t="str">
        <x:v>異常系</x:v>
      </x:c>
      <x:c r="C58" s="44" t="str">
        <x:v>顧客トップ画面</x:v>
      </x:c>
      <x:c r="D58" s="44" t="str">
        <x:v>セッション切れ</x:v>
      </x:c>
      <x:c r="E58" s="44" t="str">
        <x:v>顧客トップ表示後にセッションを無効化する</x:v>
      </x:c>
      <x:c r="F58" s="44" t="str">
        <x:v>配送依頼ボタンを押す</x:v>
      </x:c>
      <x:c r="G58" s="44" t="str">
        <x:v>ログイン画面へ遷移する</x:v>
      </x:c>
      <x:c r="H58" s="48" t="str"/>
      <x:c r="I58" s="46" t="str">
        <x:v>康</x:v>
      </x:c>
      <x:c r="J58" s="46" t="str"/>
      <x:c r="K58" s="44" t="str"/>
    </x:row>
    <x:row r="59" ht="54" customHeight="1">
      <x:c r="A59" s="46" t="n">
        <x:v>47</x:v>
      </x:c>
      <x:c r="B59" s="44" t="str">
        <x:v>正常系</x:v>
      </x:c>
      <x:c r="C59" s="44" t="str">
        <x:v>顧客トップ画面</x:v>
      </x:c>
      <x:c r="D59" s="44" t="str">
        <x:v>複数回操作</x:v>
      </x:c>
      <x:c r="E59" s="44" t="str">
        <x:v>user_id='226005'としてログイン済み</x:v>
      </x:c>
      <x:c r="F59" s="44" t="str">
        <x:v>配送依頼ボタンを連続クリックする</x:v>
      </x:c>
      <x:c r="G59" s="44" t="str">
        <x:v>1回分の遷移として扱われる</x:v>
      </x:c>
      <x:c r="H59" s="48" t="str"/>
      <x:c r="I59" s="46" t="str">
        <x:v>康</x:v>
      </x:c>
      <x:c r="J59" s="46" t="str"/>
      <x:c r="K59" s="44" t="str"/>
    </x:row>
    <x:row r="60" ht="54" customHeight="1">
      <x:c r="A60" s="46" t="n">
        <x:v>48</x:v>
      </x:c>
      <x:c r="B60" s="44" t="str">
        <x:v>正常系</x:v>
      </x:c>
      <x:c r="C60" s="44" t="str">
        <x:v>顧客トップ画面</x:v>
      </x:c>
      <x:c r="D60" s="44" t="str">
        <x:v>URL</x:v>
      </x:c>
      <x:c r="E60" s="44" t="str">
        <x:v>user_id='226005'としてログイン済み</x:v>
      </x:c>
      <x:c r="F60" s="44" t="str">
        <x:v>顧客トップ表示時のURLを確認する</x:v>
      </x:c>
      <x:c r="G60" s="44" t="str">
        <x:v>URLが /delivery/customer/top である</x:v>
      </x:c>
      <x:c r="H60" s="48" t="str"/>
      <x:c r="I60" s="46" t="str">
        <x:v>康</x:v>
      </x:c>
      <x:c r="J60" s="46" t="str"/>
      <x:c r="K60" s="44" t="str"/>
    </x:row>
    <x:row r="61" ht="54" customHeight="1">
      <x:c r="A61" s="46" t="n">
        <x:v>49</x:v>
      </x:c>
      <x:c r="B61" s="44" t="str">
        <x:v>正常系</x:v>
      </x:c>
      <x:c r="C61" s="44" t="str">
        <x:v>顧客トップ画面</x:v>
      </x:c>
      <x:c r="D61" s="44" t="str">
        <x:v>文字化け</x:v>
      </x:c>
      <x:c r="E61" s="44" t="str">
        <x:v>user_id='226005'としてログイン済み</x:v>
      </x:c>
      <x:c r="F61" s="44" t="str">
        <x:v>画面内の日本語を確認する</x:v>
      </x:c>
      <x:c r="G61" s="44" t="str">
        <x:v>文字化けが発生しない</x:v>
      </x:c>
      <x:c r="H61" s="48" t="str"/>
      <x:c r="I61" s="46" t="str">
        <x:v>康</x:v>
      </x:c>
      <x:c r="J61" s="46" t="str"/>
      <x:c r="K61" s="44" t="str"/>
    </x:row>
    <x:row r="62" ht="54" customHeight="1">
      <x:c r="A62" s="46" t="n">
        <x:v>50</x:v>
      </x:c>
      <x:c r="B62" s="44" t="str">
        <x:v>異常系</x:v>
      </x:c>
      <x:c r="C62" s="44" t="str">
        <x:v>顧客トップ画面</x:v>
      </x:c>
      <x:c r="D62" s="44" t="str">
        <x:v>存在しないパス</x:v>
      </x:c>
      <x:c r="E62" s="44" t="str">
        <x:v>user_id='226005'としてログイン済み</x:v>
      </x:c>
      <x:c r="F62" s="44" t="str">
        <x:v>顧客トップ配下の存在しないURLを入力する</x:v>
      </x:c>
      <x:c r="G62" s="44" t="str">
        <x:v>404またはエラー画面に遷移し、システムエラーにならない</x:v>
      </x:c>
      <x:c r="H62" s="48" t="str"/>
      <x:c r="I62" s="46" t="str">
        <x:v>康</x:v>
      </x:c>
      <x:c r="J62" s="46" t="str"/>
      <x:c r="K62" s="44" t="str"/>
    </x:row>
    <x:row r="63" ht="54" customHeight="1">
      <x:c r="A63" s="46" t="n">
        <x:v>51</x:v>
      </x:c>
      <x:c r="B63" s="44" t="str">
        <x:v>正常系</x:v>
      </x:c>
      <x:c r="C63" s="44" t="str">
        <x:v>配送依頼入力画面</x:v>
      </x:c>
      <x:c r="D63" s="44" t="str">
        <x:v>初期表示</x:v>
      </x:c>
      <x:c r="E63" s="44" t="str">
        <x:v>user_id='226005'としてログイン済み</x:v>
      </x:c>
      <x:c r="F63" s="44" t="str">
        <x:v>配送依頼画面を表示する</x:v>
      </x:c>
      <x:c r="G63" s="44" t="str">
        <x:v>入力欄、ご依頼主氏名、ご依頼主住所、お届け先氏名、お届け先住所、確認ボタン、戻るボタンが表示される</x:v>
      </x:c>
      <x:c r="H63" s="48" t="str"/>
      <x:c r="I63" s="46" t="str">
        <x:v>康</x:v>
      </x:c>
      <x:c r="J63" s="46" t="str"/>
      <x:c r="K63" s="44" t="str"/>
    </x:row>
    <x:row r="64" ht="54" customHeight="1">
      <x:c r="A64" s="46" t="n">
        <x:v>52</x:v>
      </x:c>
      <x:c r="B64" s="44" t="str">
        <x:v>正常系</x:v>
      </x:c>
      <x:c r="C64" s="44" t="str">
        <x:v>配送依頼入力画面</x:v>
      </x:c>
      <x:c r="D64" s="44" t="str">
        <x:v>戻る</x:v>
      </x:c>
      <x:c r="E64" s="44" t="str">
        <x:v>user_id='226005'としてログイン済み</x:v>
      </x:c>
      <x:c r="F64" s="44" t="str">
        <x:v>戻るボタンを押す</x:v>
      </x:c>
      <x:c r="G64" s="44" t="str">
        <x:v>顧客トップ画面へ遷移する</x:v>
      </x:c>
      <x:c r="H64" s="48" t="str"/>
      <x:c r="I64" s="46" t="str">
        <x:v>康</x:v>
      </x:c>
      <x:c r="J64" s="46" t="str"/>
      <x:c r="K64" s="44" t="str"/>
    </x:row>
    <x:row r="65" ht="54" customHeight="1">
      <x:c r="A65" s="46" t="n">
        <x:v>53</x:v>
      </x:c>
      <x:c r="B65" s="44" t="str">
        <x:v>異常系</x:v>
      </x:c>
      <x:c r="C65" s="44" t="str">
        <x:v>配送依頼入力画面</x:v>
      </x:c>
      <x:c r="D65" s="44" t="str">
        <x:v>未ログインアクセス</x:v>
      </x:c>
      <x:c r="E65" s="44" t="str">
        <x:v>未ログイン状態</x:v>
      </x:c>
      <x:c r="F65" s="44" t="str">
        <x:v>配送依頼画面URLを直接入力する</x:v>
      </x:c>
      <x:c r="G65" s="44" t="str">
        <x:v>ログイン画面へリダイレクトされる</x:v>
      </x:c>
      <x:c r="H65" s="48" t="str"/>
      <x:c r="I65" s="46" t="str">
        <x:v>康</x:v>
      </x:c>
      <x:c r="J65" s="46" t="str"/>
      <x:c r="K65" s="44" t="str"/>
    </x:row>
    <x:row r="66" ht="54" customHeight="1">
      <x:c r="A66" s="46" t="n">
        <x:v>54</x:v>
      </x:c>
      <x:c r="B66" s="44" t="str">
        <x:v>正常系</x:v>
      </x:c>
      <x:c r="C66" s="44" t="str">
        <x:v>配送依頼入力画面</x:v>
      </x:c>
      <x:c r="D66" s="44" t="str">
        <x:v>全項目正常</x:v>
      </x:c>
      <x:c r="E66" s="44" t="str">
        <x:v>user_id='226005'としてログイン済み</x:v>
      </x:c>
      <x:c r="F66" s="44" t="str">
        <x:v>全項目に正常値を入力して確認ボタンを押す</x:v>
      </x:c>
      <x:c r="G66" s="44" t="str">
        <x:v>配送依頼確認画面へ遷移する</x:v>
      </x:c>
      <x:c r="H66" s="48" t="str"/>
      <x:c r="I66" s="46" t="str">
        <x:v>康</x:v>
      </x:c>
      <x:c r="J66" s="46" t="str"/>
      <x:c r="K66" s="44" t="str"/>
    </x:row>
    <x:row r="67" ht="54" customHeight="1">
      <x:c r="A67" s="46" t="n">
        <x:v>55</x:v>
      </x:c>
      <x:c r="B67" s="44" t="str">
        <x:v>正常系</x:v>
      </x:c>
      <x:c r="C67" s="44" t="str">
        <x:v>配送依頼入力画面</x:v>
      </x:c>
      <x:c r="D67" s="44" t="str">
        <x:v>日本語入力</x:v>
      </x:c>
      <x:c r="E67" s="44" t="str">
        <x:v>user_id='226005'としてログイン済み</x:v>
      </x:c>
      <x:c r="F67" s="44" t="str">
        <x:v>各項目に日本語を入力して確認ボタンを押す</x:v>
      </x:c>
      <x:c r="G67" s="44" t="str">
        <x:v>文字化けせず確認画面に表示される</x:v>
      </x:c>
      <x:c r="H67" s="48" t="str"/>
      <x:c r="I67" s="46" t="str">
        <x:v>康</x:v>
      </x:c>
      <x:c r="J67" s="46" t="str"/>
      <x:c r="K67" s="44" t="str"/>
    </x:row>
    <x:row r="68" ht="54" customHeight="1">
      <x:c r="A68" s="46" t="n">
        <x:v>56</x:v>
      </x:c>
      <x:c r="B68" s="44" t="str">
        <x:v>正常系</x:v>
      </x:c>
      <x:c r="C68" s="44" t="str">
        <x:v>配送依頼入力画面</x:v>
      </x:c>
      <x:c r="D68" s="44" t="str">
        <x:v>英数字入力</x:v>
      </x:c>
      <x:c r="E68" s="44" t="str">
        <x:v>user_id='226005'としてログイン済み</x:v>
      </x:c>
      <x:c r="F68" s="44" t="str">
        <x:v>各項目に英数字を入力して確認ボタンを押す</x:v>
      </x:c>
      <x:c r="G68" s="44" t="str">
        <x:v>確認画面に入力内容が正しく表示される</x:v>
      </x:c>
      <x:c r="H68" s="48" t="str"/>
      <x:c r="I68" s="46" t="str">
        <x:v>康</x:v>
      </x:c>
      <x:c r="J68" s="46" t="str"/>
      <x:c r="K68" s="44" t="str"/>
    </x:row>
    <x:row r="69" ht="54" customHeight="1">
      <x:c r="A69" s="46" t="n">
        <x:v>57</x:v>
      </x:c>
      <x:c r="B69" s="44" t="str">
        <x:v>正常系</x:v>
      </x:c>
      <x:c r="C69" s="44" t="str">
        <x:v>配送依頼入力画面</x:v>
      </x:c>
      <x:c r="D69" s="44" t="str">
        <x:v>記号入力</x:v>
      </x:c>
      <x:c r="E69" s="44" t="str">
        <x:v>user_id='226005'としてログイン済み</x:v>
      </x:c>
      <x:c r="F69" s="44" t="str">
        <x:v>住所にハイフン、番地、マンション名を入力する</x:v>
      </x:c>
      <x:c r="G69" s="44" t="str">
        <x:v>確認画面に入力内容が正しく表示される</x:v>
      </x:c>
      <x:c r="H69" s="48" t="str"/>
      <x:c r="I69" s="46" t="str">
        <x:v>康</x:v>
      </x:c>
      <x:c r="J69" s="46" t="str"/>
      <x:c r="K69" s="44" t="str"/>
    </x:row>
    <x:row r="70" ht="54" customHeight="1">
      <x:c r="A70" s="46" t="n">
        <x:v>58</x:v>
      </x:c>
      <x:c r="B70" s="44" t="str">
        <x:v>異常系</x:v>
      </x:c>
      <x:c r="C70" s="44" t="str">
        <x:v>配送依頼入力画面</x:v>
      </x:c>
      <x:c r="D70" s="44" t="str">
        <x:v>全項目未入力</x:v>
      </x:c>
      <x:c r="E70" s="44" t="str">
        <x:v>user_id='226005'としてログイン済み</x:v>
      </x:c>
      <x:c r="F70" s="44" t="str">
        <x:v>全項目を空欄にして確認ボタンを押す</x:v>
      </x:c>
      <x:c r="G70" s="44" t="str">
        <x:v>入力画面に戻り、各項目の必須エラーが表示される</x:v>
      </x:c>
      <x:c r="H70" s="48" t="str"/>
      <x:c r="I70" s="46" t="str">
        <x:v>康</x:v>
      </x:c>
      <x:c r="J70" s="46" t="str"/>
      <x:c r="K70" s="44" t="str"/>
    </x:row>
    <x:row r="71" ht="54" customHeight="1">
      <x:c r="A71" s="46" t="n">
        <x:v>59</x:v>
      </x:c>
      <x:c r="B71" s="44" t="str">
        <x:v>異常系</x:v>
      </x:c>
      <x:c r="C71" s="44" t="str">
        <x:v>配送依頼入力画面</x:v>
      </x:c>
      <x:c r="D71" s="44" t="str">
        <x:v>全項目空白のみ</x:v>
      </x:c>
      <x:c r="E71" s="44" t="str">
        <x:v>user_id='226005'としてログイン済み</x:v>
      </x:c>
      <x:c r="F71" s="44" t="str">
        <x:v>全項目に半角空白のみを入力して確認ボタンを押す</x:v>
      </x:c>
      <x:c r="G71" s="44" t="str">
        <x:v>必須エラーとして扱われる</x:v>
      </x:c>
      <x:c r="H71" s="48" t="str"/>
      <x:c r="I71" s="46" t="str">
        <x:v>康</x:v>
      </x:c>
      <x:c r="J71" s="46" t="str"/>
      <x:c r="K71" s="44" t="str"/>
    </x:row>
    <x:row r="72" ht="54" customHeight="1">
      <x:c r="A72" s="46" t="n">
        <x:v>60</x:v>
      </x:c>
      <x:c r="B72" s="44" t="str">
        <x:v>異常系</x:v>
      </x:c>
      <x:c r="C72" s="44" t="str">
        <x:v>配送依頼入力画面</x:v>
      </x:c>
      <x:c r="D72" s="44" t="str">
        <x:v>全項目改行のみ</x:v>
      </x:c>
      <x:c r="E72" s="44" t="str">
        <x:v>user_id='226005'としてログイン済み</x:v>
      </x:c>
      <x:c r="F72" s="44" t="str">
        <x:v>全項目に改行のみを入力して確認ボタンを押す</x:v>
      </x:c>
      <x:c r="G72" s="44" t="str">
        <x:v>必須エラーとして扱われる</x:v>
      </x:c>
      <x:c r="H72" s="48" t="str"/>
      <x:c r="I72" s="46" t="str">
        <x:v>康</x:v>
      </x:c>
      <x:c r="J72" s="46" t="str"/>
      <x:c r="K72" s="44" t="str"/>
    </x:row>
    <x:row r="73" ht="54" customHeight="1">
      <x:c r="A73" s="46" t="n">
        <x:v>61</x:v>
      </x:c>
      <x:c r="B73" s="44" t="str">
        <x:v>異常系</x:v>
      </x:c>
      <x:c r="C73" s="44" t="str">
        <x:v>配送依頼入力画面</x:v>
      </x:c>
      <x:c r="D73" s="44" t="str">
        <x:v>必須チェック</x:v>
      </x:c>
      <x:c r="E73" s="44" t="str">
        <x:v>user_id='226005'としてログイン済み</x:v>
      </x:c>
      <x:c r="F73" s="44" t="str">
        <x:v>ご依頼主氏名を空欄、その他項目を正常入力して確認ボタンを押す</x:v>
      </x:c>
      <x:c r="G73" s="44" t="str">
        <x:v>ご依頼主氏名の必須エラーメッセージが表示される</x:v>
      </x:c>
      <x:c r="H73" s="48" t="str"/>
      <x:c r="I73" s="46" t="str">
        <x:v>康</x:v>
      </x:c>
      <x:c r="J73" s="46" t="str"/>
      <x:c r="K73" s="44" t="str"/>
    </x:row>
    <x:row r="74" ht="54" customHeight="1">
      <x:c r="A74" s="46" t="n">
        <x:v>62</x:v>
      </x:c>
      <x:c r="B74" s="44" t="str">
        <x:v>異常系</x:v>
      </x:c>
      <x:c r="C74" s="44" t="str">
        <x:v>配送依頼入力画面</x:v>
      </x:c>
      <x:c r="D74" s="44" t="str">
        <x:v>空白チェック</x:v>
      </x:c>
      <x:c r="E74" s="44" t="str">
        <x:v>user_id='226005'としてログイン済み</x:v>
      </x:c>
      <x:c r="F74" s="44" t="str">
        <x:v>ご依頼主氏名に半角空白のみ、その他項目を正常入力して確認ボタンを押す</x:v>
      </x:c>
      <x:c r="G74" s="44" t="str">
        <x:v>ご依頼主氏名の必須エラーメッセージが表示される</x:v>
      </x:c>
      <x:c r="H74" s="48" t="str"/>
      <x:c r="I74" s="46" t="str">
        <x:v>康</x:v>
      </x:c>
      <x:c r="J74" s="46" t="str"/>
      <x:c r="K74" s="44" t="str"/>
    </x:row>
    <x:row r="75" ht="54" customHeight="1">
      <x:c r="A75" s="46" t="n">
        <x:v>63</x:v>
      </x:c>
      <x:c r="B75" s="44" t="str">
        <x:v>正常系</x:v>
      </x:c>
      <x:c r="C75" s="44" t="str">
        <x:v>配送依頼入力画面</x:v>
      </x:c>
      <x:c r="D75" s="44" t="str">
        <x:v>前後空白</x:v>
      </x:c>
      <x:c r="E75" s="44" t="str">
        <x:v>user_id='226005'としてログイン済み</x:v>
      </x:c>
      <x:c r="F75" s="44" t="str">
        <x:v>ご依頼主氏名に前後空白を含め、その他項目を正常入力して確認ボタンを押す</x:v>
      </x:c>
      <x:c r="G75" s="44" t="str">
        <x:v>仕様通りtrimされる、または入力値として保持される</x:v>
      </x:c>
      <x:c r="H75" s="48" t="str"/>
      <x:c r="I75" s="46" t="str">
        <x:v>康</x:v>
      </x:c>
      <x:c r="J75" s="46" t="str"/>
      <x:c r="K75" s="44" t="str"/>
    </x:row>
    <x:row r="76" ht="54" customHeight="1">
      <x:c r="A76" s="46" t="n">
        <x:v>64</x:v>
      </x:c>
      <x:c r="B76" s="44" t="str">
        <x:v>異常系</x:v>
      </x:c>
      <x:c r="C76" s="44" t="str">
        <x:v>配送依頼入力画面</x:v>
      </x:c>
      <x:c r="D76" s="44" t="str">
        <x:v>必須チェック</x:v>
      </x:c>
      <x:c r="E76" s="44" t="str">
        <x:v>user_id='226005'としてログイン済み</x:v>
      </x:c>
      <x:c r="F76" s="44" t="str">
        <x:v>ご依頼主住所を空欄、その他項目を正常入力して確認ボタンを押す</x:v>
      </x:c>
      <x:c r="G76" s="44" t="str">
        <x:v>ご依頼主住所の必須エラーメッセージが表示される</x:v>
      </x:c>
      <x:c r="H76" s="48" t="str"/>
      <x:c r="I76" s="46" t="str">
        <x:v>康</x:v>
      </x:c>
      <x:c r="J76" s="46" t="str"/>
      <x:c r="K76" s="44" t="str"/>
    </x:row>
    <x:row r="77" ht="54" customHeight="1">
      <x:c r="A77" s="46" t="n">
        <x:v>65</x:v>
      </x:c>
      <x:c r="B77" s="44" t="str">
        <x:v>異常系</x:v>
      </x:c>
      <x:c r="C77" s="44" t="str">
        <x:v>配送依頼入力画面</x:v>
      </x:c>
      <x:c r="D77" s="44" t="str">
        <x:v>空白チェック</x:v>
      </x:c>
      <x:c r="E77" s="44" t="str">
        <x:v>user_id='226005'としてログイン済み</x:v>
      </x:c>
      <x:c r="F77" s="44" t="str">
        <x:v>ご依頼主住所に半角空白のみ、その他項目を正常入力して確認ボタンを押す</x:v>
      </x:c>
      <x:c r="G77" s="44" t="str">
        <x:v>ご依頼主住所の必須エラーメッセージが表示される</x:v>
      </x:c>
      <x:c r="H77" s="48" t="str"/>
      <x:c r="I77" s="46" t="str">
        <x:v>康</x:v>
      </x:c>
      <x:c r="J77" s="46" t="str"/>
      <x:c r="K77" s="44" t="str"/>
    </x:row>
    <x:row r="78" ht="54" customHeight="1">
      <x:c r="A78" s="46" t="n">
        <x:v>66</x:v>
      </x:c>
      <x:c r="B78" s="44" t="str">
        <x:v>正常系</x:v>
      </x:c>
      <x:c r="C78" s="44" t="str">
        <x:v>配送依頼入力画面</x:v>
      </x:c>
      <x:c r="D78" s="44" t="str">
        <x:v>前後空白</x:v>
      </x:c>
      <x:c r="E78" s="44" t="str">
        <x:v>user_id='226005'としてログイン済み</x:v>
      </x:c>
      <x:c r="F78" s="44" t="str">
        <x:v>ご依頼主住所に前後空白を含め、その他項目を正常入力して確認ボタンを押す</x:v>
      </x:c>
      <x:c r="G78" s="44" t="str">
        <x:v>仕様通りtrimされる、または入力値として保持される</x:v>
      </x:c>
      <x:c r="H78" s="48" t="str"/>
      <x:c r="I78" s="46" t="str">
        <x:v>康</x:v>
      </x:c>
      <x:c r="J78" s="46" t="str"/>
      <x:c r="K78" s="44" t="str"/>
    </x:row>
    <x:row r="79" ht="54" customHeight="1">
      <x:c r="A79" s="46" t="n">
        <x:v>67</x:v>
      </x:c>
      <x:c r="B79" s="44" t="str">
        <x:v>異常系</x:v>
      </x:c>
      <x:c r="C79" s="44" t="str">
        <x:v>配送依頼入力画面</x:v>
      </x:c>
      <x:c r="D79" s="44" t="str">
        <x:v>必須チェック</x:v>
      </x:c>
      <x:c r="E79" s="44" t="str">
        <x:v>user_id='226005'としてログイン済み</x:v>
      </x:c>
      <x:c r="F79" s="44" t="str">
        <x:v>お届け先氏名を空欄、その他項目を正常入力して確認ボタンを押す</x:v>
      </x:c>
      <x:c r="G79" s="44" t="str">
        <x:v>お届け先氏名の必須エラーメッセージが表示される</x:v>
      </x:c>
      <x:c r="H79" s="48" t="str"/>
      <x:c r="I79" s="46" t="str">
        <x:v>康</x:v>
      </x:c>
      <x:c r="J79" s="46" t="str"/>
      <x:c r="K79" s="44" t="str"/>
    </x:row>
    <x:row r="80" ht="54" customHeight="1">
      <x:c r="A80" s="46" t="n">
        <x:v>68</x:v>
      </x:c>
      <x:c r="B80" s="44" t="str">
        <x:v>異常系</x:v>
      </x:c>
      <x:c r="C80" s="44" t="str">
        <x:v>配送依頼入力画面</x:v>
      </x:c>
      <x:c r="D80" s="44" t="str">
        <x:v>空白チェック</x:v>
      </x:c>
      <x:c r="E80" s="44" t="str">
        <x:v>user_id='226005'としてログイン済み</x:v>
      </x:c>
      <x:c r="F80" s="44" t="str">
        <x:v>お届け先氏名に半角空白のみ、その他項目を正常入力して確認ボタンを押す</x:v>
      </x:c>
      <x:c r="G80" s="44" t="str">
        <x:v>お届け先氏名の必須エラーメッセージが表示される</x:v>
      </x:c>
      <x:c r="H80" s="48" t="str"/>
      <x:c r="I80" s="46" t="str">
        <x:v>康</x:v>
      </x:c>
      <x:c r="J80" s="46" t="str"/>
      <x:c r="K80" s="44" t="str"/>
    </x:row>
    <x:row r="81" ht="54" customHeight="1">
      <x:c r="A81" s="46" t="n">
        <x:v>69</x:v>
      </x:c>
      <x:c r="B81" s="44" t="str">
        <x:v>正常系</x:v>
      </x:c>
      <x:c r="C81" s="44" t="str">
        <x:v>配送依頼入力画面</x:v>
      </x:c>
      <x:c r="D81" s="44" t="str">
        <x:v>前後空白</x:v>
      </x:c>
      <x:c r="E81" s="44" t="str">
        <x:v>user_id='226005'としてログイン済み</x:v>
      </x:c>
      <x:c r="F81" s="44" t="str">
        <x:v>お届け先氏名に前後空白を含め、その他項目を正常入力して確認ボタンを押す</x:v>
      </x:c>
      <x:c r="G81" s="44" t="str">
        <x:v>仕様通りtrimされる、または入力値として保持される</x:v>
      </x:c>
      <x:c r="H81" s="48" t="str"/>
      <x:c r="I81" s="46" t="str">
        <x:v>康</x:v>
      </x:c>
      <x:c r="J81" s="46" t="str"/>
      <x:c r="K81" s="44" t="str"/>
    </x:row>
    <x:row r="82" ht="54" customHeight="1">
      <x:c r="A82" s="46" t="n">
        <x:v>70</x:v>
      </x:c>
      <x:c r="B82" s="44" t="str">
        <x:v>異常系</x:v>
      </x:c>
      <x:c r="C82" s="44" t="str">
        <x:v>配送依頼入力画面</x:v>
      </x:c>
      <x:c r="D82" s="44" t="str">
        <x:v>必須チェック</x:v>
      </x:c>
      <x:c r="E82" s="44" t="str">
        <x:v>user_id='226005'としてログイン済み</x:v>
      </x:c>
      <x:c r="F82" s="44" t="str">
        <x:v>お届け先住所を空欄、その他項目を正常入力して確認ボタンを押す</x:v>
      </x:c>
      <x:c r="G82" s="44" t="str">
        <x:v>お届け先住所の必須エラーメッセージが表示される</x:v>
      </x:c>
      <x:c r="H82" s="48" t="str"/>
      <x:c r="I82" s="46" t="str">
        <x:v>康</x:v>
      </x:c>
      <x:c r="J82" s="46" t="str"/>
      <x:c r="K82" s="44" t="str"/>
    </x:row>
    <x:row r="83" ht="54" customHeight="1">
      <x:c r="A83" s="46" t="n">
        <x:v>71</x:v>
      </x:c>
      <x:c r="B83" s="44" t="str">
        <x:v>異常系</x:v>
      </x:c>
      <x:c r="C83" s="44" t="str">
        <x:v>配送依頼入力画面</x:v>
      </x:c>
      <x:c r="D83" s="44" t="str">
        <x:v>空白チェック</x:v>
      </x:c>
      <x:c r="E83" s="44" t="str">
        <x:v>user_id='226005'としてログイン済み</x:v>
      </x:c>
      <x:c r="F83" s="44" t="str">
        <x:v>お届け先住所に半角空白のみ、その他項目を正常入力して確認ボタンを押す</x:v>
      </x:c>
      <x:c r="G83" s="44" t="str">
        <x:v>お届け先住所の必須エラーメッセージが表示される</x:v>
      </x:c>
      <x:c r="H83" s="48" t="str"/>
      <x:c r="I83" s="46" t="str">
        <x:v>康</x:v>
      </x:c>
      <x:c r="J83" s="46" t="str"/>
      <x:c r="K83" s="44" t="str"/>
    </x:row>
    <x:row r="84" ht="54" customHeight="1">
      <x:c r="A84" s="46" t="n">
        <x:v>72</x:v>
      </x:c>
      <x:c r="B84" s="44" t="str">
        <x:v>正常系</x:v>
      </x:c>
      <x:c r="C84" s="44" t="str">
        <x:v>配送依頼入力画面</x:v>
      </x:c>
      <x:c r="D84" s="44" t="str">
        <x:v>前後空白</x:v>
      </x:c>
      <x:c r="E84" s="44" t="str">
        <x:v>user_id='226005'としてログイン済み</x:v>
      </x:c>
      <x:c r="F84" s="44" t="str">
        <x:v>お届け先住所に前後空白を含め、その他項目を正常入力して確認ボタンを押す</x:v>
      </x:c>
      <x:c r="G84" s="44" t="str">
        <x:v>仕様通りtrimされる、または入力値として保持される</x:v>
      </x:c>
      <x:c r="H84" s="48" t="str"/>
      <x:c r="I84" s="46" t="str">
        <x:v>康</x:v>
      </x:c>
      <x:c r="J84" s="46" t="str"/>
      <x:c r="K84" s="44" t="str"/>
    </x:row>
    <x:row r="85" ht="54" customHeight="1">
      <x:c r="A85" s="46" t="n">
        <x:v>73</x:v>
      </x:c>
      <x:c r="B85" s="44" t="str">
        <x:v>境界値</x:v>
      </x:c>
      <x:c r="C85" s="44" t="str">
        <x:v>配送依頼入力画面</x:v>
      </x:c>
      <x:c r="D85" s="44" t="str">
        <x:v>最小文字数</x:v>
      </x:c>
      <x:c r="E85" s="44" t="str">
        <x:v>user_id='226005'としてログイン済み</x:v>
      </x:c>
      <x:c r="F85" s="44" t="str">
        <x:v>ご依頼主氏名に1文字、その他項目を正常入力して確認ボタンを押す</x:v>
      </x:c>
      <x:c r="G85" s="44" t="str">
        <x:v>配送依頼確認画面へ遷移する</x:v>
      </x:c>
      <x:c r="H85" s="48" t="str"/>
      <x:c r="I85" s="46" t="str">
        <x:v>康</x:v>
      </x:c>
      <x:c r="J85" s="46" t="str"/>
      <x:c r="K85" s="44" t="str"/>
    </x:row>
    <x:row r="86" ht="54" customHeight="1">
      <x:c r="A86" s="46" t="n">
        <x:v>74</x:v>
      </x:c>
      <x:c r="B86" s="44" t="str">
        <x:v>境界値</x:v>
      </x:c>
      <x:c r="C86" s="44" t="str">
        <x:v>配送依頼入力画面</x:v>
      </x:c>
      <x:c r="D86" s="44" t="str">
        <x:v>最大文字数</x:v>
      </x:c>
      <x:c r="E86" s="44" t="str">
        <x:v>user_id='226005'としてログイン済み</x:v>
      </x:c>
      <x:c r="F86" s="44" t="str">
        <x:v>ご依頼主氏名に30文字ちょうど、その他項目を正常入力して確認ボタンを押す</x:v>
      </x:c>
      <x:c r="G86" s="44" t="str">
        <x:v>配送依頼確認画面へ遷移する</x:v>
      </x:c>
      <x:c r="H86" s="48" t="str"/>
      <x:c r="I86" s="46" t="str">
        <x:v>康</x:v>
      </x:c>
      <x:c r="J86" s="46" t="str"/>
      <x:c r="K86" s="44" t="str"/>
    </x:row>
    <x:row r="87" ht="54" customHeight="1">
      <x:c r="A87" s="46" t="n">
        <x:v>75</x:v>
      </x:c>
      <x:c r="B87" s="44" t="str">
        <x:v>異常系</x:v>
      </x:c>
      <x:c r="C87" s="44" t="str">
        <x:v>配送依頼入力画面</x:v>
      </x:c>
      <x:c r="D87" s="44" t="str">
        <x:v>最大文字数超過</x:v>
      </x:c>
      <x:c r="E87" s="44" t="str">
        <x:v>user_id='226005'としてログイン済み</x:v>
      </x:c>
      <x:c r="F87" s="44" t="str">
        <x:v>ご依頼主氏名に31文字、その他項目を正常入力して確認ボタンを押す</x:v>
      </x:c>
      <x:c r="G87" s="44" t="str">
        <x:v>ご依頼主氏名の文字数超過エラーが表示され、確認画面へ進まない</x:v>
      </x:c>
      <x:c r="H87" s="48" t="str"/>
      <x:c r="I87" s="46" t="str">
        <x:v>康</x:v>
      </x:c>
      <x:c r="J87" s="46" t="str"/>
      <x:c r="K87" s="44" t="str"/>
    </x:row>
    <x:row r="88" ht="54" customHeight="1">
      <x:c r="A88" s="46" t="n">
        <x:v>76</x:v>
      </x:c>
      <x:c r="B88" s="44" t="str">
        <x:v>異常系</x:v>
      </x:c>
      <x:c r="C88" s="44" t="str">
        <x:v>配送依頼入力画面</x:v>
      </x:c>
      <x:c r="D88" s="44" t="str">
        <x:v>タブ入力</x:v>
      </x:c>
      <x:c r="E88" s="44" t="str">
        <x:v>user_id='226005'としてログイン済み</x:v>
      </x:c>
      <x:c r="F88" s="44" t="str">
        <x:v>ご依頼主氏名にタブのみ、その他項目を正常入力して確認ボタンを押す</x:v>
      </x:c>
      <x:c r="G88" s="44" t="str">
        <x:v>ご依頼主氏名の必須エラーまたは不正入力エラーが表示される</x:v>
      </x:c>
      <x:c r="H88" s="48" t="str"/>
      <x:c r="I88" s="46" t="str">
        <x:v>康</x:v>
      </x:c>
      <x:c r="J88" s="46" t="str"/>
      <x:c r="K88" s="44" t="str"/>
    </x:row>
    <x:row r="89" ht="54" customHeight="1">
      <x:c r="A89" s="46" t="n">
        <x:v>77</x:v>
      </x:c>
      <x:c r="B89" s="44" t="str">
        <x:v>境界値</x:v>
      </x:c>
      <x:c r="C89" s="44" t="str">
        <x:v>配送依頼入力画面</x:v>
      </x:c>
      <x:c r="D89" s="44" t="str">
        <x:v>最小文字数</x:v>
      </x:c>
      <x:c r="E89" s="44" t="str">
        <x:v>user_id='226005'としてログイン済み</x:v>
      </x:c>
      <x:c r="F89" s="44" t="str">
        <x:v>ご依頼主住所に1文字、その他項目を正常入力して確認ボタンを押す</x:v>
      </x:c>
      <x:c r="G89" s="44" t="str">
        <x:v>配送依頼確認画面へ遷移する</x:v>
      </x:c>
      <x:c r="H89" s="48" t="str"/>
      <x:c r="I89" s="46" t="str">
        <x:v>康</x:v>
      </x:c>
      <x:c r="J89" s="46" t="str"/>
      <x:c r="K89" s="44" t="str"/>
    </x:row>
    <x:row r="90" ht="54" customHeight="1">
      <x:c r="A90" s="46" t="n">
        <x:v>78</x:v>
      </x:c>
      <x:c r="B90" s="44" t="str">
        <x:v>境界値</x:v>
      </x:c>
      <x:c r="C90" s="44" t="str">
        <x:v>配送依頼入力画面</x:v>
      </x:c>
      <x:c r="D90" s="44" t="str">
        <x:v>最大文字数</x:v>
      </x:c>
      <x:c r="E90" s="44" t="str">
        <x:v>user_id='226005'としてログイン済み</x:v>
      </x:c>
      <x:c r="F90" s="44" t="str">
        <x:v>ご依頼主住所に50文字ちょうど、その他項目を正常入力して確認ボタンを押す</x:v>
      </x:c>
      <x:c r="G90" s="44" t="str">
        <x:v>配送依頼確認画面へ遷移する</x:v>
      </x:c>
      <x:c r="H90" s="48" t="str"/>
      <x:c r="I90" s="46" t="str">
        <x:v>康</x:v>
      </x:c>
      <x:c r="J90" s="46" t="str"/>
      <x:c r="K90" s="44" t="str"/>
    </x:row>
    <x:row r="91" ht="54" customHeight="1">
      <x:c r="A91" s="46" t="n">
        <x:v>79</x:v>
      </x:c>
      <x:c r="B91" s="44" t="str">
        <x:v>異常系</x:v>
      </x:c>
      <x:c r="C91" s="44" t="str">
        <x:v>配送依頼入力画面</x:v>
      </x:c>
      <x:c r="D91" s="44" t="str">
        <x:v>最大文字数超過</x:v>
      </x:c>
      <x:c r="E91" s="44" t="str">
        <x:v>user_id='226005'としてログイン済み</x:v>
      </x:c>
      <x:c r="F91" s="44" t="str">
        <x:v>ご依頼主住所に51文字、その他項目を正常入力して確認ボタンを押す</x:v>
      </x:c>
      <x:c r="G91" s="44" t="str">
        <x:v>ご依頼主住所の文字数超過エラーが表示され、確認画面へ進まない</x:v>
      </x:c>
      <x:c r="H91" s="48" t="str"/>
      <x:c r="I91" s="46" t="str">
        <x:v>康</x:v>
      </x:c>
      <x:c r="J91" s="46" t="str"/>
      <x:c r="K91" s="44" t="str"/>
    </x:row>
    <x:row r="92" ht="54" customHeight="1">
      <x:c r="A92" s="46" t="n">
        <x:v>80</x:v>
      </x:c>
      <x:c r="B92" s="44" t="str">
        <x:v>異常系</x:v>
      </x:c>
      <x:c r="C92" s="44" t="str">
        <x:v>配送依頼入力画面</x:v>
      </x:c>
      <x:c r="D92" s="44" t="str">
        <x:v>タブ入力</x:v>
      </x:c>
      <x:c r="E92" s="44" t="str">
        <x:v>user_id='226005'としてログイン済み</x:v>
      </x:c>
      <x:c r="F92" s="44" t="str">
        <x:v>ご依頼主住所にタブのみ、その他項目を正常入力して確認ボタンを押す</x:v>
      </x:c>
      <x:c r="G92" s="44" t="str">
        <x:v>ご依頼主住所の必須エラーまたは不正入力エラーが表示される</x:v>
      </x:c>
      <x:c r="H92" s="48" t="str"/>
      <x:c r="I92" s="46" t="str">
        <x:v>康</x:v>
      </x:c>
      <x:c r="J92" s="46" t="str"/>
      <x:c r="K92" s="44" t="str"/>
    </x:row>
    <x:row r="93" ht="54" customHeight="1">
      <x:c r="A93" s="46" t="n">
        <x:v>81</x:v>
      </x:c>
      <x:c r="B93" s="44" t="str">
        <x:v>境界値</x:v>
      </x:c>
      <x:c r="C93" s="44" t="str">
        <x:v>配送依頼入力画面</x:v>
      </x:c>
      <x:c r="D93" s="44" t="str">
        <x:v>最小文字数</x:v>
      </x:c>
      <x:c r="E93" s="44" t="str">
        <x:v>user_id='226005'としてログイン済み</x:v>
      </x:c>
      <x:c r="F93" s="44" t="str">
        <x:v>お届け先氏名に1文字、その他項目を正常入力して確認ボタンを押す</x:v>
      </x:c>
      <x:c r="G93" s="44" t="str">
        <x:v>配送依頼確認画面へ遷移する</x:v>
      </x:c>
      <x:c r="H93" s="48" t="str"/>
      <x:c r="I93" s="46" t="str">
        <x:v>康</x:v>
      </x:c>
      <x:c r="J93" s="46" t="str"/>
      <x:c r="K93" s="44" t="str"/>
    </x:row>
    <x:row r="94" ht="54" customHeight="1">
      <x:c r="A94" s="46" t="n">
        <x:v>82</x:v>
      </x:c>
      <x:c r="B94" s="44" t="str">
        <x:v>境界値</x:v>
      </x:c>
      <x:c r="C94" s="44" t="str">
        <x:v>配送依頼入力画面</x:v>
      </x:c>
      <x:c r="D94" s="44" t="str">
        <x:v>最大文字数</x:v>
      </x:c>
      <x:c r="E94" s="44" t="str">
        <x:v>user_id='226005'としてログイン済み</x:v>
      </x:c>
      <x:c r="F94" s="44" t="str">
        <x:v>お届け先氏名に30文字ちょうど、その他項目を正常入力して確認ボタンを押す</x:v>
      </x:c>
      <x:c r="G94" s="44" t="str">
        <x:v>配送依頼確認画面へ遷移する</x:v>
      </x:c>
      <x:c r="H94" s="48" t="str"/>
      <x:c r="I94" s="46" t="str">
        <x:v>康</x:v>
      </x:c>
      <x:c r="J94" s="46" t="str"/>
      <x:c r="K94" s="44" t="str"/>
    </x:row>
    <x:row r="95" ht="54" customHeight="1">
      <x:c r="A95" s="46" t="n">
        <x:v>83</x:v>
      </x:c>
      <x:c r="B95" s="44" t="str">
        <x:v>異常系</x:v>
      </x:c>
      <x:c r="C95" s="44" t="str">
        <x:v>配送依頼入力画面</x:v>
      </x:c>
      <x:c r="D95" s="44" t="str">
        <x:v>最大文字数超過</x:v>
      </x:c>
      <x:c r="E95" s="44" t="str">
        <x:v>user_id='226005'としてログイン済み</x:v>
      </x:c>
      <x:c r="F95" s="44" t="str">
        <x:v>お届け先氏名に31文字、その他項目を正常入力して確認ボタンを押す</x:v>
      </x:c>
      <x:c r="G95" s="44" t="str">
        <x:v>お届け先氏名の文字数超過エラーが表示され、確認画面へ進まない</x:v>
      </x:c>
      <x:c r="H95" s="48" t="str"/>
      <x:c r="I95" s="46" t="str">
        <x:v>康</x:v>
      </x:c>
      <x:c r="J95" s="46" t="str"/>
      <x:c r="K95" s="44" t="str"/>
    </x:row>
    <x:row r="96" ht="54" customHeight="1">
      <x:c r="A96" s="46" t="n">
        <x:v>84</x:v>
      </x:c>
      <x:c r="B96" s="44" t="str">
        <x:v>異常系</x:v>
      </x:c>
      <x:c r="C96" s="44" t="str">
        <x:v>配送依頼入力画面</x:v>
      </x:c>
      <x:c r="D96" s="44" t="str">
        <x:v>タブ入力</x:v>
      </x:c>
      <x:c r="E96" s="44" t="str">
        <x:v>user_id='226005'としてログイン済み</x:v>
      </x:c>
      <x:c r="F96" s="44" t="str">
        <x:v>お届け先氏名にタブのみ、その他項目を正常入力して確認ボタンを押す</x:v>
      </x:c>
      <x:c r="G96" s="44" t="str">
        <x:v>お届け先氏名の必須エラーまたは不正入力エラーが表示される</x:v>
      </x:c>
      <x:c r="H96" s="48" t="str"/>
      <x:c r="I96" s="46" t="str">
        <x:v>康</x:v>
      </x:c>
      <x:c r="J96" s="46" t="str"/>
      <x:c r="K96" s="44" t="str"/>
    </x:row>
    <x:row r="97" ht="54" customHeight="1">
      <x:c r="A97" s="46" t="n">
        <x:v>85</x:v>
      </x:c>
      <x:c r="B97" s="44" t="str">
        <x:v>境界値</x:v>
      </x:c>
      <x:c r="C97" s="44" t="str">
        <x:v>配送依頼入力画面</x:v>
      </x:c>
      <x:c r="D97" s="44" t="str">
        <x:v>最小文字数</x:v>
      </x:c>
      <x:c r="E97" s="44" t="str">
        <x:v>user_id='226005'としてログイン済み</x:v>
      </x:c>
      <x:c r="F97" s="44" t="str">
        <x:v>お届け先住所に1文字、その他項目を正常入力して確認ボタンを押す</x:v>
      </x:c>
      <x:c r="G97" s="44" t="str">
        <x:v>配送依頼確認画面へ遷移する</x:v>
      </x:c>
      <x:c r="H97" s="48" t="str"/>
      <x:c r="I97" s="46" t="str">
        <x:v>康</x:v>
      </x:c>
      <x:c r="J97" s="46" t="str"/>
      <x:c r="K97" s="44" t="str"/>
    </x:row>
    <x:row r="98" ht="54" customHeight="1">
      <x:c r="A98" s="46" t="n">
        <x:v>86</x:v>
      </x:c>
      <x:c r="B98" s="44" t="str">
        <x:v>境界値</x:v>
      </x:c>
      <x:c r="C98" s="44" t="str">
        <x:v>配送依頼入力画面</x:v>
      </x:c>
      <x:c r="D98" s="44" t="str">
        <x:v>最大文字数</x:v>
      </x:c>
      <x:c r="E98" s="44" t="str">
        <x:v>user_id='226005'としてログイン済み</x:v>
      </x:c>
      <x:c r="F98" s="44" t="str">
        <x:v>お届け先住所に50文字ちょうど、その他項目を正常入力して確認ボタンを押す</x:v>
      </x:c>
      <x:c r="G98" s="44" t="str">
        <x:v>配送依頼確認画面へ遷移する</x:v>
      </x:c>
      <x:c r="H98" s="48" t="str"/>
      <x:c r="I98" s="46" t="str">
        <x:v>康</x:v>
      </x:c>
      <x:c r="J98" s="46" t="str"/>
      <x:c r="K98" s="44" t="str"/>
    </x:row>
    <x:row r="99" ht="54" customHeight="1">
      <x:c r="A99" s="46" t="n">
        <x:v>87</x:v>
      </x:c>
      <x:c r="B99" s="44" t="str">
        <x:v>異常系</x:v>
      </x:c>
      <x:c r="C99" s="44" t="str">
        <x:v>配送依頼入力画面</x:v>
      </x:c>
      <x:c r="D99" s="44" t="str">
        <x:v>最大文字数超過</x:v>
      </x:c>
      <x:c r="E99" s="44" t="str">
        <x:v>user_id='226005'としてログイン済み</x:v>
      </x:c>
      <x:c r="F99" s="44" t="str">
        <x:v>お届け先住所に51文字、その他項目を正常入力して確認ボタンを押す</x:v>
      </x:c>
      <x:c r="G99" s="44" t="str">
        <x:v>お届け先住所の文字数超過エラーが表示され、確認画面へ進まない</x:v>
      </x:c>
      <x:c r="H99" s="48" t="str"/>
      <x:c r="I99" s="46" t="str">
        <x:v>康</x:v>
      </x:c>
      <x:c r="J99" s="46" t="str"/>
      <x:c r="K99" s="44" t="str"/>
    </x:row>
    <x:row r="100" ht="54" customHeight="1">
      <x:c r="A100" s="46" t="n">
        <x:v>88</x:v>
      </x:c>
      <x:c r="B100" s="44" t="str">
        <x:v>異常系</x:v>
      </x:c>
      <x:c r="C100" s="44" t="str">
        <x:v>配送依頼入力画面</x:v>
      </x:c>
      <x:c r="D100" s="44" t="str">
        <x:v>タブ入力</x:v>
      </x:c>
      <x:c r="E100" s="44" t="str">
        <x:v>user_id='226005'としてログイン済み</x:v>
      </x:c>
      <x:c r="F100" s="44" t="str">
        <x:v>お届け先住所にタブのみ、その他項目を正常入力して確認ボタンを押す</x:v>
      </x:c>
      <x:c r="G100" s="44" t="str">
        <x:v>お届け先住所の必須エラーまたは不正入力エラーが表示される</x:v>
      </x:c>
      <x:c r="H100" s="48" t="str"/>
      <x:c r="I100" s="46" t="str">
        <x:v>康</x:v>
      </x:c>
      <x:c r="J100" s="46" t="str"/>
      <x:c r="K100" s="44" t="str"/>
    </x:row>
    <x:row r="101" ht="54" customHeight="1">
      <x:c r="A101" s="46" t="n">
        <x:v>89</x:v>
      </x:c>
      <x:c r="B101" s="44" t="str">
        <x:v>異常系</x:v>
      </x:c>
      <x:c r="C101" s="44" t="str">
        <x:v>配送依頼入力画面</x:v>
      </x:c>
      <x:c r="D101" s="44" t="str">
        <x:v>絵文字</x:v>
      </x:c>
      <x:c r="E101" s="44" t="str">
        <x:v>user_id='226005'としてログイン済み</x:v>
      </x:c>
      <x:c r="F101" s="44" t="str">
        <x:v>ご依頼主氏名に「😊😊😊」を入力し、その他項目を正常入力して確認ボタンを押す</x:v>
      </x:c>
      <x:c r="G101" s="44" t="str">
        <x:v>ご依頼主氏名について、絵文字が仕様上許可されない場合はエラー、許可される場合は文字化けしない</x:v>
      </x:c>
      <x:c r="H101" s="48" t="str"/>
      <x:c r="I101" s="46" t="str">
        <x:v>康</x:v>
      </x:c>
      <x:c r="J101" s="46" t="str"/>
      <x:c r="K101" s="44" t="str"/>
    </x:row>
    <x:row r="102" ht="54" customHeight="1">
      <x:c r="A102" s="46" t="n">
        <x:v>90</x:v>
      </x:c>
      <x:c r="B102" s="44" t="str">
        <x:v>異常系</x:v>
      </x:c>
      <x:c r="C102" s="44" t="str">
        <x:v>配送依頼入力画面</x:v>
      </x:c>
      <x:c r="D102" s="44" t="str">
        <x:v>機種依存文字</x:v>
      </x:c>
      <x:c r="E102" s="44" t="str">
        <x:v>user_id='226005'としてログイン済み</x:v>
      </x:c>
      <x:c r="F102" s="44" t="str">
        <x:v>ご依頼主氏名に「髙﨑①㈱」を入力し、その他項目を正常入力して確認ボタンを押す</x:v>
      </x:c>
      <x:c r="G102" s="44" t="str">
        <x:v>ご依頼主氏名について、文字化けせず処理される、または入力エラーとして扱われる</x:v>
      </x:c>
      <x:c r="H102" s="48" t="str"/>
      <x:c r="I102" s="46" t="str">
        <x:v>康</x:v>
      </x:c>
      <x:c r="J102" s="46" t="str"/>
      <x:c r="K102" s="44" t="str"/>
    </x:row>
    <x:row r="103" ht="54" customHeight="1">
      <x:c r="A103" s="46" t="n">
        <x:v>91</x:v>
      </x:c>
      <x:c r="B103" s="44" t="str">
        <x:v>セキュリティ</x:v>
      </x:c>
      <x:c r="C103" s="44" t="str">
        <x:v>配送依頼入力画面</x:v>
      </x:c>
      <x:c r="D103" s="44" t="str">
        <x:v>XSS</x:v>
      </x:c>
      <x:c r="E103" s="44" t="str">
        <x:v>user_id='226005'としてログイン済み</x:v>
      </x:c>
      <x:c r="F103" s="44" t="str">
        <x:v>ご依頼主氏名に「&lt;script&gt;alert('x')&lt;/script&gt;」を入力し、その他項目を正常入力して確認ボタンを押す</x:v>
      </x:c>
      <x:c r="G103" s="44" t="str">
        <x:v>ご依頼主氏名について、スクリプトが実行されず、画面に安全に表示される</x:v>
      </x:c>
      <x:c r="H103" s="48" t="str"/>
      <x:c r="I103" s="46" t="str">
        <x:v>康</x:v>
      </x:c>
      <x:c r="J103" s="46" t="str"/>
      <x:c r="K103" s="44" t="str"/>
    </x:row>
    <x:row r="104" ht="54" customHeight="1">
      <x:c r="A104" s="46" t="n">
        <x:v>92</x:v>
      </x:c>
      <x:c r="B104" s="44" t="str">
        <x:v>セキュリティ</x:v>
      </x:c>
      <x:c r="C104" s="44" t="str">
        <x:v>配送依頼入力画面</x:v>
      </x:c>
      <x:c r="D104" s="44" t="str">
        <x:v>HTMLタグ</x:v>
      </x:c>
      <x:c r="E104" s="44" t="str">
        <x:v>user_id='226005'としてログイン済み</x:v>
      </x:c>
      <x:c r="F104" s="44" t="str">
        <x:v>ご依頼主氏名に「&lt;b&gt;山田&lt;/b&gt;」を入力し、その他項目を正常入力して確認ボタンを押す</x:v>
      </x:c>
      <x:c r="G104" s="44" t="str">
        <x:v>ご依頼主氏名について、HTMLとして解釈されず文字列として扱われる</x:v>
      </x:c>
      <x:c r="H104" s="48" t="str"/>
      <x:c r="I104" s="46" t="str">
        <x:v>康</x:v>
      </x:c>
      <x:c r="J104" s="46" t="str"/>
      <x:c r="K104" s="44" t="str"/>
    </x:row>
    <x:row r="105" ht="54" customHeight="1">
      <x:c r="A105" s="46" t="n">
        <x:v>93</x:v>
      </x:c>
      <x:c r="B105" s="44" t="str">
        <x:v>セキュリティ</x:v>
      </x:c>
      <x:c r="C105" s="44" t="str">
        <x:v>配送依頼入力画面</x:v>
      </x:c>
      <x:c r="D105" s="44" t="str">
        <x:v>SQLインジェクション</x:v>
      </x:c>
      <x:c r="E105" s="44" t="str">
        <x:v>user_id='226005'としてログイン済み</x:v>
      </x:c>
      <x:c r="F105" s="44" t="str">
        <x:v>ご依頼主氏名に「' OR '1'='1」を入力し、その他項目を正常入力して確認ボタンを押す</x:v>
      </x:c>
      <x:c r="G105" s="44" t="str">
        <x:v>ご依頼主氏名について、DBエラーにならず、文字列として扱うか入力エラーになる</x:v>
      </x:c>
      <x:c r="H105" s="48" t="str"/>
      <x:c r="I105" s="46" t="str">
        <x:v>康</x:v>
      </x:c>
      <x:c r="J105" s="46" t="str"/>
      <x:c r="K105" s="44" t="str"/>
    </x:row>
    <x:row r="106" ht="54" customHeight="1">
      <x:c r="A106" s="46" t="n">
        <x:v>94</x:v>
      </x:c>
      <x:c r="B106" s="44" t="str">
        <x:v>異常系</x:v>
      </x:c>
      <x:c r="C106" s="44" t="str">
        <x:v>配送依頼入力画面</x:v>
      </x:c>
      <x:c r="D106" s="44" t="str">
        <x:v>長文貼付</x:v>
      </x:c>
      <x:c r="E106" s="44" t="str">
        <x:v>user_id='226005'としてログイン済み</x:v>
      </x:c>
      <x:c r="F106" s="44" t="str">
        <x:v>ご依頼主氏名に「200文字の長文」を入力し、その他項目を正常入力して確認ボタンを押す</x:v>
      </x:c>
      <x:c r="G106" s="44" t="str">
        <x:v>ご依頼主氏名について、文字数制限エラーが表示される</x:v>
      </x:c>
      <x:c r="H106" s="48" t="str"/>
      <x:c r="I106" s="46" t="str">
        <x:v>康</x:v>
      </x:c>
      <x:c r="J106" s="46" t="str"/>
      <x:c r="K106" s="44" t="str"/>
    </x:row>
    <x:row r="107" ht="54" customHeight="1">
      <x:c r="A107" s="46" t="n">
        <x:v>95</x:v>
      </x:c>
      <x:c r="B107" s="44" t="str">
        <x:v>異常系</x:v>
      </x:c>
      <x:c r="C107" s="44" t="str">
        <x:v>配送依頼入力画面</x:v>
      </x:c>
      <x:c r="D107" s="44" t="str">
        <x:v>絵文字</x:v>
      </x:c>
      <x:c r="E107" s="44" t="str">
        <x:v>user_id='226005'としてログイン済み</x:v>
      </x:c>
      <x:c r="F107" s="44" t="str">
        <x:v>ご依頼主住所に「😊😊😊」を入力し、その他項目を正常入力して確認ボタンを押す</x:v>
      </x:c>
      <x:c r="G107" s="44" t="str">
        <x:v>ご依頼主住所について、絵文字が仕様上許可されない場合はエラー、許可される場合は文字化けしない</x:v>
      </x:c>
      <x:c r="H107" s="48" t="str"/>
      <x:c r="I107" s="46" t="str">
        <x:v>康</x:v>
      </x:c>
      <x:c r="J107" s="46" t="str"/>
      <x:c r="K107" s="44" t="str"/>
    </x:row>
    <x:row r="108" ht="54" customHeight="1">
      <x:c r="A108" s="46" t="n">
        <x:v>96</x:v>
      </x:c>
      <x:c r="B108" s="44" t="str">
        <x:v>異常系</x:v>
      </x:c>
      <x:c r="C108" s="44" t="str">
        <x:v>配送依頼入力画面</x:v>
      </x:c>
      <x:c r="D108" s="44" t="str">
        <x:v>機種依存文字</x:v>
      </x:c>
      <x:c r="E108" s="44" t="str">
        <x:v>user_id='226005'としてログイン済み</x:v>
      </x:c>
      <x:c r="F108" s="44" t="str">
        <x:v>ご依頼主住所に「髙﨑①㈱」を入力し、その他項目を正常入力して確認ボタンを押す</x:v>
      </x:c>
      <x:c r="G108" s="44" t="str">
        <x:v>ご依頼主住所について、文字化けせず処理される、または入力エラーとして扱われる</x:v>
      </x:c>
      <x:c r="H108" s="48" t="str"/>
      <x:c r="I108" s="46" t="str">
        <x:v>康</x:v>
      </x:c>
      <x:c r="J108" s="46" t="str"/>
      <x:c r="K108" s="44" t="str"/>
    </x:row>
    <x:row r="109" ht="54" customHeight="1">
      <x:c r="A109" s="46" t="n">
        <x:v>97</x:v>
      </x:c>
      <x:c r="B109" s="44" t="str">
        <x:v>セキュリティ</x:v>
      </x:c>
      <x:c r="C109" s="44" t="str">
        <x:v>配送依頼入力画面</x:v>
      </x:c>
      <x:c r="D109" s="44" t="str">
        <x:v>XSS</x:v>
      </x:c>
      <x:c r="E109" s="44" t="str">
        <x:v>user_id='226005'としてログイン済み</x:v>
      </x:c>
      <x:c r="F109" s="44" t="str">
        <x:v>ご依頼主住所に「&lt;script&gt;alert('x')&lt;/script&gt;」を入力し、その他項目を正常入力して確認ボタンを押す</x:v>
      </x:c>
      <x:c r="G109" s="44" t="str">
        <x:v>ご依頼主住所について、スクリプトが実行されず、画面に安全に表示される</x:v>
      </x:c>
      <x:c r="H109" s="48" t="str"/>
      <x:c r="I109" s="46" t="str">
        <x:v>康</x:v>
      </x:c>
      <x:c r="J109" s="46" t="str"/>
      <x:c r="K109" s="44" t="str"/>
    </x:row>
    <x:row r="110" ht="54" customHeight="1">
      <x:c r="A110" s="46" t="n">
        <x:v>98</x:v>
      </x:c>
      <x:c r="B110" s="44" t="str">
        <x:v>セキュリティ</x:v>
      </x:c>
      <x:c r="C110" s="44" t="str">
        <x:v>配送依頼入力画面</x:v>
      </x:c>
      <x:c r="D110" s="44" t="str">
        <x:v>HTMLタグ</x:v>
      </x:c>
      <x:c r="E110" s="44" t="str">
        <x:v>user_id='226005'としてログイン済み</x:v>
      </x:c>
      <x:c r="F110" s="44" t="str">
        <x:v>ご依頼主住所に「&lt;b&gt;山田&lt;/b&gt;」を入力し、その他項目を正常入力して確認ボタンを押す</x:v>
      </x:c>
      <x:c r="G110" s="44" t="str">
        <x:v>ご依頼主住所について、HTMLとして解釈されず文字列として扱われる</x:v>
      </x:c>
      <x:c r="H110" s="48" t="str"/>
      <x:c r="I110" s="46" t="str">
        <x:v>康</x:v>
      </x:c>
      <x:c r="J110" s="46" t="str"/>
      <x:c r="K110" s="44" t="str"/>
    </x:row>
    <x:row r="111" ht="54" customHeight="1">
      <x:c r="A111" s="46" t="n">
        <x:v>99</x:v>
      </x:c>
      <x:c r="B111" s="44" t="str">
        <x:v>セキュリティ</x:v>
      </x:c>
      <x:c r="C111" s="44" t="str">
        <x:v>配送依頼入力画面</x:v>
      </x:c>
      <x:c r="D111" s="44" t="str">
        <x:v>SQLインジェクション</x:v>
      </x:c>
      <x:c r="E111" s="44" t="str">
        <x:v>user_id='226005'としてログイン済み</x:v>
      </x:c>
      <x:c r="F111" s="44" t="str">
        <x:v>ご依頼主住所に「' OR '1'='1」を入力し、その他項目を正常入力して確認ボタンを押す</x:v>
      </x:c>
      <x:c r="G111" s="44" t="str">
        <x:v>ご依頼主住所について、DBエラーにならず、文字列として扱うか入力エラーになる</x:v>
      </x:c>
      <x:c r="H111" s="48" t="str"/>
      <x:c r="I111" s="46" t="str">
        <x:v>康</x:v>
      </x:c>
      <x:c r="J111" s="46" t="str"/>
      <x:c r="K111" s="44" t="str"/>
    </x:row>
    <x:row r="112" ht="54" customHeight="1">
      <x:c r="A112" s="46" t="n">
        <x:v>100</x:v>
      </x:c>
      <x:c r="B112" s="44" t="str">
        <x:v>異常系</x:v>
      </x:c>
      <x:c r="C112" s="44" t="str">
        <x:v>配送依頼入力画面</x:v>
      </x:c>
      <x:c r="D112" s="44" t="str">
        <x:v>長文貼付</x:v>
      </x:c>
      <x:c r="E112" s="44" t="str">
        <x:v>user_id='226005'としてログイン済み</x:v>
      </x:c>
      <x:c r="F112" s="44" t="str">
        <x:v>ご依頼主住所に「200文字の長文」を入力し、その他項目を正常入力して確認ボタンを押す</x:v>
      </x:c>
      <x:c r="G112" s="44" t="str">
        <x:v>ご依頼主住所について、文字数制限エラーが表示される</x:v>
      </x:c>
      <x:c r="H112" s="48" t="str"/>
      <x:c r="I112" s="46" t="str">
        <x:v>康</x:v>
      </x:c>
      <x:c r="J112" s="46" t="str"/>
      <x:c r="K112" s="44" t="str"/>
    </x:row>
    <x:row r="113" ht="54" customHeight="1">
      <x:c r="A113" s="46" t="n">
        <x:v>101</x:v>
      </x:c>
      <x:c r="B113" s="44" t="str">
        <x:v>正常系</x:v>
      </x:c>
      <x:c r="C113" s="44" t="str">
        <x:v>配送依頼確認画面</x:v>
      </x:c>
      <x:c r="D113" s="44" t="str">
        <x:v>表示</x:v>
      </x:c>
      <x:c r="E113" s="44" t="str">
        <x:v>配送依頼入力画面で正常な入力値を保持している</x:v>
      </x:c>
      <x:c r="F113" s="44" t="str">
        <x:v>確認ボタンを押す</x:v>
      </x:c>
      <x:c r="G113" s="44" t="str">
        <x:v>入力した4項目が確認画面に表示される</x:v>
      </x:c>
      <x:c r="H113" s="48" t="str"/>
      <x:c r="I113" s="46" t="str">
        <x:v>康</x:v>
      </x:c>
      <x:c r="J113" s="46" t="str"/>
      <x:c r="K113" s="44" t="str"/>
    </x:row>
    <x:row r="114" ht="54" customHeight="1">
      <x:c r="A114" s="46" t="n">
        <x:v>102</x:v>
      </x:c>
      <x:c r="B114" s="44" t="str">
        <x:v>正常系</x:v>
      </x:c>
      <x:c r="C114" s="44" t="str">
        <x:v>配送依頼確認画面</x:v>
      </x:c>
      <x:c r="D114" s="44" t="str">
        <x:v>URL確認</x:v>
      </x:c>
      <x:c r="E114" s="44" t="str">
        <x:v>配送依頼入力画面で正常な入力値を保持している</x:v>
      </x:c>
      <x:c r="F114" s="44" t="str">
        <x:v>確認画面へ遷移する</x:v>
      </x:c>
      <x:c r="G114" s="44" t="str">
        <x:v>URLが /delivery/customer/confirm である</x:v>
      </x:c>
      <x:c r="H114" s="48" t="str"/>
      <x:c r="I114" s="46" t="str">
        <x:v>康</x:v>
      </x:c>
      <x:c r="J114" s="46" t="str"/>
      <x:c r="K114" s="44" t="str"/>
    </x:row>
    <x:row r="115" ht="54" customHeight="1">
      <x:c r="A115" s="46" t="n">
        <x:v>103</x:v>
      </x:c>
      <x:c r="B115" s="44" t="str">
        <x:v>正常系</x:v>
      </x:c>
      <x:c r="C115" s="44" t="str">
        <x:v>配送依頼確認画面</x:v>
      </x:c>
      <x:c r="D115" s="44" t="str">
        <x:v>戻る</x:v>
      </x:c>
      <x:c r="E115" s="44" t="str">
        <x:v>依頼確認画面に遷移済み</x:v>
      </x:c>
      <x:c r="F115" s="44" t="str">
        <x:v>戻るボタンを押す</x:v>
      </x:c>
      <x:c r="G115" s="44" t="str">
        <x:v>配送依頼入力画面へ戻り、入力値が保持される</x:v>
      </x:c>
      <x:c r="H115" s="48" t="str"/>
      <x:c r="I115" s="46" t="str">
        <x:v>康</x:v>
      </x:c>
      <x:c r="J115" s="46" t="str"/>
      <x:c r="K115" s="44" t="str"/>
    </x:row>
    <x:row r="116" ht="54" customHeight="1">
      <x:c r="A116" s="46" t="n">
        <x:v>104</x:v>
      </x:c>
      <x:c r="B116" s="44" t="str">
        <x:v>正常系</x:v>
      </x:c>
      <x:c r="C116" s="44" t="str">
        <x:v>配送依頼確認画面</x:v>
      </x:c>
      <x:c r="D116" s="44" t="str">
        <x:v>登録</x:v>
      </x:c>
      <x:c r="E116" s="44" t="str">
        <x:v>依頼確認画面に遷移済み</x:v>
      </x:c>
      <x:c r="F116" s="44" t="str">
        <x:v>登録ボタンを押す</x:v>
      </x:c>
      <x:c r="G116" s="44" t="str">
        <x:v>配送依頼完了画面へ遷移する</x:v>
      </x:c>
      <x:c r="H116" s="48" t="str"/>
      <x:c r="I116" s="46" t="str">
        <x:v>康</x:v>
      </x:c>
      <x:c r="J116" s="46" t="str"/>
      <x:c r="K116" s="44" t="str"/>
    </x:row>
    <x:row r="117" ht="54" customHeight="1">
      <x:c r="A117" s="46" t="n">
        <x:v>105</x:v>
      </x:c>
      <x:c r="B117" s="44" t="str">
        <x:v>異常系</x:v>
      </x:c>
      <x:c r="C117" s="44" t="str">
        <x:v>配送依頼確認画面</x:v>
      </x:c>
      <x:c r="D117" s="44" t="str">
        <x:v>未ログインアクセス</x:v>
      </x:c>
      <x:c r="E117" s="44" t="str">
        <x:v>未ログイン状態</x:v>
      </x:c>
      <x:c r="F117" s="44" t="str">
        <x:v>確認画面URLを直接入力する</x:v>
      </x:c>
      <x:c r="G117" s="44" t="str">
        <x:v>ログイン画面へリダイレクトされる</x:v>
      </x:c>
      <x:c r="H117" s="48" t="str"/>
      <x:c r="I117" s="46" t="str">
        <x:v>康</x:v>
      </x:c>
      <x:c r="J117" s="46" t="str"/>
      <x:c r="K117" s="44" t="str"/>
    </x:row>
    <x:row r="118" ht="54" customHeight="1">
      <x:c r="A118" s="46" t="n">
        <x:v>106</x:v>
      </x:c>
      <x:c r="B118" s="44" t="str">
        <x:v>異常系</x:v>
      </x:c>
      <x:c r="C118" s="44" t="str">
        <x:v>配送依頼確認画面</x:v>
      </x:c>
      <x:c r="D118" s="44" t="str">
        <x:v>直接アクセス</x:v>
      </x:c>
      <x:c r="E118" s="44" t="str">
        <x:v>user_id='226005'としてログイン済み</x:v>
      </x:c>
      <x:c r="F118" s="44" t="str">
        <x:v>入力情報なしで確認画面URLを直接入力する</x:v>
      </x:c>
      <x:c r="G118" s="44" t="str">
        <x:v>配送依頼入力画面へ戻る、またはエラー画面へ遷移する</x:v>
      </x:c>
      <x:c r="H118" s="48" t="str"/>
      <x:c r="I118" s="46" t="str">
        <x:v>康</x:v>
      </x:c>
      <x:c r="J118" s="46" t="str"/>
      <x:c r="K118" s="44" t="str"/>
    </x:row>
    <x:row r="119" ht="54" customHeight="1">
      <x:c r="A119" s="46" t="n">
        <x:v>107</x:v>
      </x:c>
      <x:c r="B119" s="44" t="str">
        <x:v>正常系</x:v>
      </x:c>
      <x:c r="C119" s="44" t="str">
        <x:v>配送依頼確認画面</x:v>
      </x:c>
      <x:c r="D119" s="44" t="str">
        <x:v>改行表示</x:v>
      </x:c>
      <x:c r="E119" s="44" t="str">
        <x:v>配送依頼入力画面で正常な入力値を保持している</x:v>
      </x:c>
      <x:c r="F119" s="44" t="str">
        <x:v>住所に改行を含めて確認画面へ遷移する</x:v>
      </x:c>
      <x:c r="G119" s="44" t="str">
        <x:v>改行が仕様通り表示され、画面が崩れない</x:v>
      </x:c>
      <x:c r="H119" s="48" t="str"/>
      <x:c r="I119" s="46" t="str">
        <x:v>康</x:v>
      </x:c>
      <x:c r="J119" s="46" t="str"/>
      <x:c r="K119" s="44" t="str"/>
    </x:row>
    <x:row r="120" ht="54" customHeight="1">
      <x:c r="A120" s="46" t="n">
        <x:v>108</x:v>
      </x:c>
      <x:c r="B120" s="44" t="str">
        <x:v>正常系</x:v>
      </x:c>
      <x:c r="C120" s="44" t="str">
        <x:v>配送依頼確認画面</x:v>
      </x:c>
      <x:c r="D120" s="44" t="str">
        <x:v>記号表示</x:v>
      </x:c>
      <x:c r="E120" s="44" t="str">
        <x:v>配送依頼入力画面で正常な入力値を保持している</x:v>
      </x:c>
      <x:c r="F120" s="44" t="str">
        <x:v>住所にハイフン・括弧・号室を含めて確認画面へ遷移する</x:v>
      </x:c>
      <x:c r="G120" s="44" t="str">
        <x:v>記号が文字化けせず表示される</x:v>
      </x:c>
      <x:c r="H120" s="48" t="str"/>
      <x:c r="I120" s="46" t="str">
        <x:v>康</x:v>
      </x:c>
      <x:c r="J120" s="46" t="str"/>
      <x:c r="K120" s="44" t="str"/>
    </x:row>
    <x:row r="121" ht="54" customHeight="1">
      <x:c r="A121" s="46" t="n">
        <x:v>109</x:v>
      </x:c>
      <x:c r="B121" s="44" t="str">
        <x:v>セキュリティ</x:v>
      </x:c>
      <x:c r="C121" s="44" t="str">
        <x:v>配送依頼確認画面</x:v>
      </x:c>
      <x:c r="D121" s="44" t="str">
        <x:v>XSS表示</x:v>
      </x:c>
      <x:c r="E121" s="44" t="str">
        <x:v>配送依頼入力画面で正常な入力値を保持している</x:v>
      </x:c>
      <x:c r="F121" s="44" t="str">
        <x:v>入力値にHTMLタグを含めて確認画面へ遷移する</x:v>
      </x:c>
      <x:c r="G121" s="44" t="str">
        <x:v>HTMLが実行されず、文字列として表示される</x:v>
      </x:c>
      <x:c r="H121" s="48" t="str"/>
      <x:c r="I121" s="46" t="str">
        <x:v>康</x:v>
      </x:c>
      <x:c r="J121" s="46" t="str"/>
      <x:c r="K121" s="44" t="str"/>
    </x:row>
    <x:row r="122" ht="54" customHeight="1">
      <x:c r="A122" s="46" t="n">
        <x:v>110</x:v>
      </x:c>
      <x:c r="B122" s="44" t="str">
        <x:v>セキュリティ</x:v>
      </x:c>
      <x:c r="C122" s="44" t="str">
        <x:v>配送依頼確認画面</x:v>
      </x:c>
      <x:c r="D122" s="44" t="str">
        <x:v>SQL文字列表示</x:v>
      </x:c>
      <x:c r="E122" s="44" t="str">
        <x:v>配送依頼入力画面で正常な入力値を保持している</x:v>
      </x:c>
      <x:c r="F122" s="44" t="str">
        <x:v>入力値にSQL風文字列を含めて確認画面へ遷移する</x:v>
      </x:c>
      <x:c r="G122" s="44" t="str">
        <x:v>SQLエラーが発生せず、文字列として表示される</x:v>
      </x:c>
      <x:c r="H122" s="48" t="str"/>
      <x:c r="I122" s="46" t="str">
        <x:v>康</x:v>
      </x:c>
      <x:c r="J122" s="46" t="str"/>
      <x:c r="K122" s="44" t="str"/>
    </x:row>
    <x:row r="123" ht="54" customHeight="1">
      <x:c r="A123" s="46" t="n">
        <x:v>111</x:v>
      </x:c>
      <x:c r="B123" s="44" t="str">
        <x:v>正常系</x:v>
      </x:c>
      <x:c r="C123" s="44" t="str">
        <x:v>配送依頼確認画面</x:v>
      </x:c>
      <x:c r="D123" s="44" t="str">
        <x:v>最大文字数表示</x:v>
      </x:c>
      <x:c r="E123" s="44" t="str">
        <x:v>配送依頼入力画面で正常な入力値を保持している</x:v>
      </x:c>
      <x:c r="F123" s="44" t="str">
        <x:v>各項目に最大文字数ちょうどを入力して確認画面へ遷移する</x:v>
      </x:c>
      <x:c r="G123" s="44" t="str">
        <x:v>画面レイアウトが崩れず表示される</x:v>
      </x:c>
      <x:c r="H123" s="48" t="str"/>
      <x:c r="I123" s="46" t="str">
        <x:v>康</x:v>
      </x:c>
      <x:c r="J123" s="46" t="str"/>
      <x:c r="K123" s="44" t="str"/>
    </x:row>
    <x:row r="124" ht="54" customHeight="1">
      <x:c r="A124" s="46" t="n">
        <x:v>112</x:v>
      </x:c>
      <x:c r="B124" s="44" t="str">
        <x:v>正常系</x:v>
      </x:c>
      <x:c r="C124" s="44" t="str">
        <x:v>配送依頼確認画面</x:v>
      </x:c>
      <x:c r="D124" s="44" t="str">
        <x:v>入力順序</x:v>
      </x:c>
      <x:c r="E124" s="44" t="str">
        <x:v>配送依頼入力画面で正常な入力値を保持している</x:v>
      </x:c>
      <x:c r="F124" s="44" t="str">
        <x:v>4項目を入力して確認画面に遷移する</x:v>
      </x:c>
      <x:c r="G124" s="44" t="str">
        <x:v>ご依頼主情報、お届け先情報の順に表示される</x:v>
      </x:c>
      <x:c r="H124" s="48" t="str"/>
      <x:c r="I124" s="46" t="str">
        <x:v>康</x:v>
      </x:c>
      <x:c r="J124" s="46" t="str"/>
      <x:c r="K124" s="44" t="str"/>
    </x:row>
    <x:row r="125" ht="54" customHeight="1">
      <x:c r="A125" s="46" t="n">
        <x:v>113</x:v>
      </x:c>
      <x:c r="B125" s="44" t="str">
        <x:v>正常系</x:v>
      </x:c>
      <x:c r="C125" s="44" t="str">
        <x:v>配送依頼確認画面</x:v>
      </x:c>
      <x:c r="D125" s="44" t="str">
        <x:v>ボタン表示</x:v>
      </x:c>
      <x:c r="E125" s="44" t="str">
        <x:v>依頼確認画面に遷移済み</x:v>
      </x:c>
      <x:c r="F125" s="44" t="str">
        <x:v>画面を確認する</x:v>
      </x:c>
      <x:c r="G125" s="44" t="str">
        <x:v>戻るボタンと登録ボタンが表示される</x:v>
      </x:c>
      <x:c r="H125" s="48" t="str"/>
      <x:c r="I125" s="46" t="str">
        <x:v>康</x:v>
      </x:c>
      <x:c r="J125" s="46" t="str"/>
      <x:c r="K125" s="44" t="str"/>
    </x:row>
    <x:row r="126" ht="54" customHeight="1">
      <x:c r="A126" s="46" t="n">
        <x:v>114</x:v>
      </x:c>
      <x:c r="B126" s="44" t="str">
        <x:v>正常系</x:v>
      </x:c>
      <x:c r="C126" s="44" t="str">
        <x:v>配送依頼確認画面</x:v>
      </x:c>
      <x:c r="D126" s="44" t="str">
        <x:v>戻る後再確認</x:v>
      </x:c>
      <x:c r="E126" s="44" t="str">
        <x:v>依頼確認画面に遷移済み</x:v>
      </x:c>
      <x:c r="F126" s="44" t="str">
        <x:v>戻るボタンで入力画面へ戻り、再度確認ボタンを押す</x:v>
      </x:c>
      <x:c r="G126" s="44" t="str">
        <x:v>修正後の内容が確認画面に表示される</x:v>
      </x:c>
      <x:c r="H126" s="48" t="str"/>
      <x:c r="I126" s="46" t="str">
        <x:v>康</x:v>
      </x:c>
      <x:c r="J126" s="46" t="str"/>
      <x:c r="K126" s="44" t="str"/>
    </x:row>
    <x:row r="127" ht="54" customHeight="1">
      <x:c r="A127" s="46" t="n">
        <x:v>115</x:v>
      </x:c>
      <x:c r="B127" s="44" t="str">
        <x:v>正常系</x:v>
      </x:c>
      <x:c r="C127" s="44" t="str">
        <x:v>配送依頼確認画面</x:v>
      </x:c>
      <x:c r="D127" s="44" t="str">
        <x:v>二重登録防止</x:v>
      </x:c>
      <x:c r="E127" s="44" t="str">
        <x:v>依頼確認画面に遷移済み</x:v>
      </x:c>
      <x:c r="F127" s="44" t="str">
        <x:v>登録ボタンを連続クリックする</x:v>
      </x:c>
      <x:c r="G127" s="44" t="str">
        <x:v>配送依頼が二重登録されない</x:v>
      </x:c>
      <x:c r="H127" s="48" t="str"/>
      <x:c r="I127" s="46" t="str">
        <x:v>康</x:v>
      </x:c>
      <x:c r="J127" s="46" t="str"/>
      <x:c r="K127" s="44" t="str"/>
    </x:row>
    <x:row r="128" ht="54" customHeight="1">
      <x:c r="A128" s="46" t="n">
        <x:v>116</x:v>
      </x:c>
      <x:c r="B128" s="44" t="str">
        <x:v>異常系</x:v>
      </x:c>
      <x:c r="C128" s="44" t="str">
        <x:v>配送依頼確認画面</x:v>
      </x:c>
      <x:c r="D128" s="44" t="str">
        <x:v>セッション切れ</x:v>
      </x:c>
      <x:c r="E128" s="44" t="str">
        <x:v>依頼確認画面に遷移済み</x:v>
      </x:c>
      <x:c r="F128" s="44" t="str">
        <x:v>セッションを無効化して登録ボタンを押す</x:v>
      </x:c>
      <x:c r="G128" s="44" t="str">
        <x:v>ログイン画面へ遷移し、登録されない</x:v>
      </x:c>
      <x:c r="H128" s="48" t="str"/>
      <x:c r="I128" s="46" t="str">
        <x:v>康</x:v>
      </x:c>
      <x:c r="J128" s="46" t="str"/>
      <x:c r="K128" s="44" t="str"/>
    </x:row>
    <x:row r="129" ht="54" customHeight="1">
      <x:c r="A129" s="46" t="n">
        <x:v>117</x:v>
      </x:c>
      <x:c r="B129" s="44" t="str">
        <x:v>異常系</x:v>
      </x:c>
      <x:c r="C129" s="44" t="str">
        <x:v>配送依頼確認画面</x:v>
      </x:c>
      <x:c r="D129" s="44" t="str">
        <x:v>パラメータ改ざん</x:v>
      </x:c>
      <x:c r="E129" s="44" t="str">
        <x:v>依頼確認画面に遷移済み</x:v>
      </x:c>
      <x:c r="F129" s="44" t="str">
        <x:v>画面HTMLのhidden値を変更して登録ボタンを押す</x:v>
      </x:c>
      <x:c r="G129" s="44" t="str">
        <x:v>サーバ側の保持値またはバリデーションで不正値が登録されない</x:v>
      </x:c>
      <x:c r="H129" s="48" t="str"/>
      <x:c r="I129" s="46" t="str">
        <x:v>康</x:v>
      </x:c>
      <x:c r="J129" s="46" t="str"/>
      <x:c r="K129" s="44" t="str"/>
    </x:row>
    <x:row r="130" ht="54" customHeight="1">
      <x:c r="A130" s="46" t="n">
        <x:v>118</x:v>
      </x:c>
      <x:c r="B130" s="44" t="str">
        <x:v>正常系</x:v>
      </x:c>
      <x:c r="C130" s="44" t="str">
        <x:v>配送依頼確認画面</x:v>
      </x:c>
      <x:c r="D130" s="44" t="str">
        <x:v>ブラウザ戻る</x:v>
      </x:c>
      <x:c r="E130" s="44" t="str">
        <x:v>依頼確認画面に遷移済み</x:v>
      </x:c>
      <x:c r="F130" s="44" t="str">
        <x:v>ブラウザの戻るボタンを押す</x:v>
      </x:c>
      <x:c r="G130" s="44" t="str">
        <x:v>配送依頼入力画面に戻る</x:v>
      </x:c>
      <x:c r="H130" s="48" t="str"/>
      <x:c r="I130" s="46" t="str">
        <x:v>康</x:v>
      </x:c>
      <x:c r="J130" s="46" t="str"/>
      <x:c r="K130" s="44" t="str"/>
    </x:row>
    <x:row r="131" ht="54" customHeight="1">
      <x:c r="A131" s="46" t="n">
        <x:v>119</x:v>
      </x:c>
      <x:c r="B131" s="44" t="str">
        <x:v>正常系</x:v>
      </x:c>
      <x:c r="C131" s="44" t="str">
        <x:v>配送依頼確認画面</x:v>
      </x:c>
      <x:c r="D131" s="44" t="str">
        <x:v>再読み込み</x:v>
      </x:c>
      <x:c r="E131" s="44" t="str">
        <x:v>依頼確認画面に遷移済み</x:v>
      </x:c>
      <x:c r="F131" s="44" t="str">
        <x:v>確認画面を再読み込みする</x:v>
      </x:c>
      <x:c r="G131" s="44" t="str">
        <x:v>同じ確認内容が表示される</x:v>
      </x:c>
      <x:c r="H131" s="48" t="str"/>
      <x:c r="I131" s="46" t="str">
        <x:v>康</x:v>
      </x:c>
      <x:c r="J131" s="46" t="str"/>
      <x:c r="K131" s="44" t="str"/>
    </x:row>
    <x:row r="132" ht="54" customHeight="1">
      <x:c r="A132" s="46" t="n">
        <x:v>120</x:v>
      </x:c>
      <x:c r="B132" s="44" t="str">
        <x:v>異常系</x:v>
      </x:c>
      <x:c r="C132" s="44" t="str">
        <x:v>配送依頼確認画面</x:v>
      </x:c>
      <x:c r="D132" s="44" t="str">
        <x:v>不正メソッド</x:v>
      </x:c>
      <x:c r="E132" s="44" t="str">
        <x:v>user_id='226005'としてログイン済み</x:v>
      </x:c>
      <x:c r="F132" s="44" t="str">
        <x:v>確認Servletに想定外メソッドでアクセスする</x:v>
      </x:c>
      <x:c r="G132" s="44" t="str">
        <x:v>例外が画面に露出せず、適切に処理される</x:v>
      </x:c>
      <x:c r="H132" s="48" t="str"/>
      <x:c r="I132" s="46" t="str">
        <x:v>康</x:v>
      </x:c>
      <x:c r="J132" s="46" t="str"/>
      <x:c r="K132" s="44" t="str"/>
    </x:row>
    <x:row r="133" ht="54" customHeight="1">
      <x:c r="A133" s="46" t="n">
        <x:v>121</x:v>
      </x:c>
      <x:c r="B133" s="44" t="str">
        <x:v>正常系</x:v>
      </x:c>
      <x:c r="C133" s="44" t="str">
        <x:v>配送依頼確認画面</x:v>
      </x:c>
      <x:c r="D133" s="44" t="str">
        <x:v>氏名確認</x:v>
      </x:c>
      <x:c r="E133" s="44" t="str">
        <x:v>配送依頼入力画面で正常な入力値を保持している</x:v>
      </x:c>
      <x:c r="F133" s="44" t="str">
        <x:v>氏名を入力して確認画面に進む</x:v>
      </x:c>
      <x:c r="G133" s="44" t="str">
        <x:v>ご依頼主氏名とお届け先氏名が入れ替わらず表示される</x:v>
      </x:c>
      <x:c r="H133" s="48" t="str"/>
      <x:c r="I133" s="46" t="str">
        <x:v>康</x:v>
      </x:c>
      <x:c r="J133" s="46" t="str"/>
      <x:c r="K133" s="44" t="str"/>
    </x:row>
    <x:row r="134" ht="54" customHeight="1">
      <x:c r="A134" s="46" t="n">
        <x:v>122</x:v>
      </x:c>
      <x:c r="B134" s="44" t="str">
        <x:v>正常系</x:v>
      </x:c>
      <x:c r="C134" s="44" t="str">
        <x:v>配送依頼確認画面</x:v>
      </x:c>
      <x:c r="D134" s="44" t="str">
        <x:v>住所確認</x:v>
      </x:c>
      <x:c r="E134" s="44" t="str">
        <x:v>配送依頼入力画面で正常な入力値を保持している</x:v>
      </x:c>
      <x:c r="F134" s="44" t="str">
        <x:v>住所を入力して確認画面に進む</x:v>
      </x:c>
      <x:c r="G134" s="44" t="str">
        <x:v>ご依頼主住所とお届け先住所が入れ替わらず表示される</x:v>
      </x:c>
      <x:c r="H134" s="48" t="str"/>
      <x:c r="I134" s="46" t="str">
        <x:v>康</x:v>
      </x:c>
      <x:c r="J134" s="46" t="str"/>
      <x:c r="K134" s="44" t="str"/>
    </x:row>
    <x:row r="135" ht="54" customHeight="1">
      <x:c r="A135" s="46" t="n">
        <x:v>123</x:v>
      </x:c>
      <x:c r="B135" s="44" t="str">
        <x:v>正常系</x:v>
      </x:c>
      <x:c r="C135" s="44" t="str">
        <x:v>配送依頼確認画面</x:v>
      </x:c>
      <x:c r="D135" s="44" t="str">
        <x:v>ヘッダー表示</x:v>
      </x:c>
      <x:c r="E135" s="44" t="str">
        <x:v>依頼確認画面に遷移済み</x:v>
      </x:c>
      <x:c r="F135" s="44" t="str">
        <x:v>確認画面を表示する</x:v>
      </x:c>
      <x:c r="G135" s="44" t="str">
        <x:v>共通ヘッダーが表示される</x:v>
      </x:c>
      <x:c r="H135" s="48" t="str"/>
      <x:c r="I135" s="46" t="str">
        <x:v>康</x:v>
      </x:c>
      <x:c r="J135" s="46" t="str"/>
      <x:c r="K135" s="44" t="str"/>
    </x:row>
    <x:row r="136" ht="54" customHeight="1">
      <x:c r="A136" s="46" t="n">
        <x:v>124</x:v>
      </x:c>
      <x:c r="B136" s="44" t="str">
        <x:v>正常系</x:v>
      </x:c>
      <x:c r="C136" s="44" t="str">
        <x:v>配送依頼確認画面</x:v>
      </x:c>
      <x:c r="D136" s="44" t="str">
        <x:v>CSS適用</x:v>
      </x:c>
      <x:c r="E136" s="44" t="str">
        <x:v>依頼確認画面に遷移済み</x:v>
      </x:c>
      <x:c r="F136" s="44" t="str">
        <x:v>確認画面を表示する</x:v>
      </x:c>
      <x:c r="G136" s="44" t="str">
        <x:v>表やラベルが崩れず表示される</x:v>
      </x:c>
      <x:c r="H136" s="48" t="str"/>
      <x:c r="I136" s="46" t="str">
        <x:v>康</x:v>
      </x:c>
      <x:c r="J136" s="46" t="str"/>
      <x:c r="K136" s="44" t="str"/>
    </x:row>
    <x:row r="137" ht="54" customHeight="1">
      <x:c r="A137" s="46" t="n">
        <x:v>125</x:v>
      </x:c>
      <x:c r="B137" s="44" t="str">
        <x:v>異常系</x:v>
      </x:c>
      <x:c r="C137" s="44" t="str">
        <x:v>配送依頼確認画面</x:v>
      </x:c>
      <x:c r="D137" s="44" t="str">
        <x:v>空データ登録防止</x:v>
      </x:c>
      <x:c r="E137" s="44" t="str">
        <x:v>user_id='226005'としてログイン済み</x:v>
      </x:c>
      <x:c r="F137" s="44" t="str">
        <x:v>空データをセッションに設定して登録処理を実行する</x:v>
      </x:c>
      <x:c r="G137" s="44" t="str">
        <x:v>登録されず、入力画面に戻る</x:v>
      </x:c>
      <x:c r="H137" s="48" t="str"/>
      <x:c r="I137" s="46" t="str">
        <x:v>康</x:v>
      </x:c>
      <x:c r="J137" s="46" t="str"/>
      <x:c r="K137" s="44" t="str"/>
    </x:row>
    <x:row r="138" ht="54" customHeight="1">
      <x:c r="A138" s="46" t="n">
        <x:v>126</x:v>
      </x:c>
      <x:c r="B138" s="44" t="str">
        <x:v>正常系</x:v>
      </x:c>
      <x:c r="C138" s="44" t="str">
        <x:v>登録処理</x:v>
      </x:c>
      <x:c r="D138" s="44" t="str">
        <x:v>INSERT</x:v>
      </x:c>
      <x:c r="E138" s="44" t="str">
        <x:v>依頼確認画面に遷移済み</x:v>
      </x:c>
      <x:c r="F138" s="44" t="str">
        <x:v>登録ボタンを押す</x:v>
      </x:c>
      <x:c r="G138" s="44" t="str">
        <x:v>配送依頼テーブルに1件INSERTされる</x:v>
      </x:c>
      <x:c r="H138" s="48" t="str"/>
      <x:c r="I138" s="46" t="str">
        <x:v>康</x:v>
      </x:c>
      <x:c r="J138" s="46" t="str"/>
      <x:c r="K138" s="44" t="str"/>
    </x:row>
    <x:row r="139" ht="54" customHeight="1">
      <x:c r="A139" s="46" t="n">
        <x:v>127</x:v>
      </x:c>
      <x:c r="B139" s="44" t="str">
        <x:v>正常系</x:v>
      </x:c>
      <x:c r="C139" s="44" t="str">
        <x:v>登録処理</x:v>
      </x:c>
      <x:c r="D139" s="44" t="str">
        <x:v>採番</x:v>
      </x:c>
      <x:c r="E139" s="44" t="str">
        <x:v>依頼確認画面に遷移済み</x:v>
      </x:c>
      <x:c r="F139" s="44" t="str">
        <x:v>登録ボタンを押す</x:v>
      </x:c>
      <x:c r="G139" s="44" t="str">
        <x:v>配送番号またはIDが一意に採番される</x:v>
      </x:c>
      <x:c r="H139" s="48" t="str"/>
      <x:c r="I139" s="46" t="str">
        <x:v>康</x:v>
      </x:c>
      <x:c r="J139" s="46" t="str"/>
      <x:c r="K139" s="44" t="str"/>
    </x:row>
    <x:row r="140" ht="54" customHeight="1">
      <x:c r="A140" s="46" t="n">
        <x:v>128</x:v>
      </x:c>
      <x:c r="B140" s="44" t="str">
        <x:v>正常系</x:v>
      </x:c>
      <x:c r="C140" s="44" t="str">
        <x:v>登録処理</x:v>
      </x:c>
      <x:c r="D140" s="44" t="str">
        <x:v>依頼主氏名</x:v>
      </x:c>
      <x:c r="E140" s="44" t="str">
        <x:v>依頼確認画面に遷移済み</x:v>
      </x:c>
      <x:c r="F140" s="44" t="str">
        <x:v>登録後にDBを確認する</x:v>
      </x:c>
      <x:c r="G140" s="44" t="str">
        <x:v>DBの依頼主氏名が確認画面の値と一致する</x:v>
      </x:c>
      <x:c r="H140" s="48" t="str"/>
      <x:c r="I140" s="46" t="str">
        <x:v>康</x:v>
      </x:c>
      <x:c r="J140" s="46" t="str"/>
      <x:c r="K140" s="44" t="str"/>
    </x:row>
    <x:row r="141" ht="54" customHeight="1">
      <x:c r="A141" s="46" t="n">
        <x:v>129</x:v>
      </x:c>
      <x:c r="B141" s="44" t="str">
        <x:v>正常系</x:v>
      </x:c>
      <x:c r="C141" s="44" t="str">
        <x:v>登録処理</x:v>
      </x:c>
      <x:c r="D141" s="44" t="str">
        <x:v>依頼主住所</x:v>
      </x:c>
      <x:c r="E141" s="44" t="str">
        <x:v>依頼確認画面に遷移済み</x:v>
      </x:c>
      <x:c r="F141" s="44" t="str">
        <x:v>登録後にDBを確認する</x:v>
      </x:c>
      <x:c r="G141" s="44" t="str">
        <x:v>DBの依頼主住所が確認画面の値と一致する</x:v>
      </x:c>
      <x:c r="H141" s="48" t="str"/>
      <x:c r="I141" s="46" t="str">
        <x:v>康</x:v>
      </x:c>
      <x:c r="J141" s="46" t="str"/>
      <x:c r="K141" s="44" t="str"/>
    </x:row>
    <x:row r="142" ht="54" customHeight="1">
      <x:c r="A142" s="46" t="n">
        <x:v>130</x:v>
      </x:c>
      <x:c r="B142" s="44" t="str">
        <x:v>正常系</x:v>
      </x:c>
      <x:c r="C142" s="44" t="str">
        <x:v>登録処理</x:v>
      </x:c>
      <x:c r="D142" s="44" t="str">
        <x:v>お届け先氏名</x:v>
      </x:c>
      <x:c r="E142" s="44" t="str">
        <x:v>依頼確認画面に遷移済み</x:v>
      </x:c>
      <x:c r="F142" s="44" t="str">
        <x:v>登録後にDBを確認する</x:v>
      </x:c>
      <x:c r="G142" s="44" t="str">
        <x:v>DBのお届け先氏名が確認画面の値と一致する</x:v>
      </x:c>
      <x:c r="H142" s="48" t="str"/>
      <x:c r="I142" s="46" t="str">
        <x:v>康</x:v>
      </x:c>
      <x:c r="J142" s="46" t="str"/>
      <x:c r="K142" s="44" t="str"/>
    </x:row>
    <x:row r="143" ht="54" customHeight="1">
      <x:c r="A143" s="46" t="n">
        <x:v>131</x:v>
      </x:c>
      <x:c r="B143" s="44" t="str">
        <x:v>正常系</x:v>
      </x:c>
      <x:c r="C143" s="44" t="str">
        <x:v>登録処理</x:v>
      </x:c>
      <x:c r="D143" s="44" t="str">
        <x:v>お届け先住所</x:v>
      </x:c>
      <x:c r="E143" s="44" t="str">
        <x:v>依頼確認画面に遷移済み</x:v>
      </x:c>
      <x:c r="F143" s="44" t="str">
        <x:v>登録後にDBを確認する</x:v>
      </x:c>
      <x:c r="G143" s="44" t="str">
        <x:v>DBのお届け先住所が確認画面の値と一致する</x:v>
      </x:c>
      <x:c r="H143" s="48" t="str"/>
      <x:c r="I143" s="46" t="str">
        <x:v>康</x:v>
      </x:c>
      <x:c r="J143" s="46" t="str"/>
      <x:c r="K143" s="44" t="str"/>
    </x:row>
    <x:row r="144" ht="54" customHeight="1">
      <x:c r="A144" s="46" t="n">
        <x:v>132</x:v>
      </x:c>
      <x:c r="B144" s="44" t="str">
        <x:v>正常系</x:v>
      </x:c>
      <x:c r="C144" s="44" t="str">
        <x:v>登録処理</x:v>
      </x:c>
      <x:c r="D144" s="44" t="str">
        <x:v>顧客ID</x:v>
      </x:c>
      <x:c r="E144" s="44" t="str">
        <x:v>依頼確認画面に遷移済み</x:v>
      </x:c>
      <x:c r="F144" s="44" t="str">
        <x:v>登録後にDBを確認する</x:v>
      </x:c>
      <x:c r="G144" s="44" t="str">
        <x:v>ログイン中の顧客IDが登録される</x:v>
      </x:c>
      <x:c r="H144" s="48" t="str"/>
      <x:c r="I144" s="46" t="str">
        <x:v>康</x:v>
      </x:c>
      <x:c r="J144" s="46" t="str"/>
      <x:c r="K144" s="44" t="str"/>
    </x:row>
    <x:row r="145" ht="54" customHeight="1">
      <x:c r="A145" s="46" t="n">
        <x:v>133</x:v>
      </x:c>
      <x:c r="B145" s="44" t="str">
        <x:v>正常系</x:v>
      </x:c>
      <x:c r="C145" s="44" t="str">
        <x:v>登録処理</x:v>
      </x:c>
      <x:c r="D145" s="44" t="str">
        <x:v>初期ステータス</x:v>
      </x:c>
      <x:c r="E145" s="44" t="str">
        <x:v>依頼確認画面に遷移済み</x:v>
      </x:c>
      <x:c r="F145" s="44" t="str">
        <x:v>登録後にDBを確認する</x:v>
      </x:c>
      <x:c r="G145" s="44" t="str">
        <x:v>配送状況が初期値（例：未対応、受付済み等）で登録される</x:v>
      </x:c>
      <x:c r="H145" s="48" t="str"/>
      <x:c r="I145" s="46" t="str">
        <x:v>康</x:v>
      </x:c>
      <x:c r="J145" s="46" t="str"/>
      <x:c r="K145" s="44" t="str"/>
    </x:row>
    <x:row r="146" ht="54" customHeight="1">
      <x:c r="A146" s="46" t="n">
        <x:v>134</x:v>
      </x:c>
      <x:c r="B146" s="44" t="str">
        <x:v>正常系</x:v>
      </x:c>
      <x:c r="C146" s="44" t="str">
        <x:v>登録処理</x:v>
      </x:c>
      <x:c r="D146" s="44" t="str">
        <x:v>登録日時</x:v>
      </x:c>
      <x:c r="E146" s="44" t="str">
        <x:v>依頼確認画面に遷移済み</x:v>
      </x:c>
      <x:c r="F146" s="44" t="str">
        <x:v>登録後にDBを確認する</x:v>
      </x:c>
      <x:c r="G146" s="44" t="str">
        <x:v>登録日時が正しく設定される</x:v>
      </x:c>
      <x:c r="H146" s="48" t="str"/>
      <x:c r="I146" s="46" t="str">
        <x:v>康</x:v>
      </x:c>
      <x:c r="J146" s="46" t="str"/>
      <x:c r="K146" s="44" t="str"/>
    </x:row>
    <x:row r="147" ht="54" customHeight="1">
      <x:c r="A147" s="46" t="n">
        <x:v>135</x:v>
      </x:c>
      <x:c r="B147" s="44" t="str">
        <x:v>正常系</x:v>
      </x:c>
      <x:c r="C147" s="44" t="str">
        <x:v>登録処理</x:v>
      </x:c>
      <x:c r="D147" s="44" t="str">
        <x:v>完了遷移</x:v>
      </x:c>
      <x:c r="E147" s="44" t="str">
        <x:v>依頼確認画面に遷移済み</x:v>
      </x:c>
      <x:c r="F147" s="44" t="str">
        <x:v>登録ボタンを押す</x:v>
      </x:c>
      <x:c r="G147" s="44" t="str">
        <x:v>完了画面へ遷移する</x:v>
      </x:c>
      <x:c r="H147" s="48" t="str"/>
      <x:c r="I147" s="46" t="str">
        <x:v>康</x:v>
      </x:c>
      <x:c r="J147" s="46" t="str"/>
      <x:c r="K147" s="44" t="str"/>
    </x:row>
    <x:row r="148" ht="54" customHeight="1">
      <x:c r="A148" s="46" t="n">
        <x:v>136</x:v>
      </x:c>
      <x:c r="B148" s="44" t="str">
        <x:v>異常系</x:v>
      </x:c>
      <x:c r="C148" s="44" t="str">
        <x:v>登録処理</x:v>
      </x:c>
      <x:c r="D148" s="44" t="str">
        <x:v>DB接続失敗</x:v>
      </x:c>
      <x:c r="E148" s="44" t="str">
        <x:v>依頼確認画面に遷移済み</x:v>
      </x:c>
      <x:c r="F148" s="44" t="str">
        <x:v>DB接続情報を不正にして登録ボタンを押す</x:v>
      </x:c>
      <x:c r="G148" s="44" t="str">
        <x:v>エラー画面へ遷移し、例外スタックが表示されない</x:v>
      </x:c>
      <x:c r="H148" s="48" t="str"/>
      <x:c r="I148" s="46" t="str">
        <x:v>康</x:v>
      </x:c>
      <x:c r="J148" s="46" t="str"/>
      <x:c r="K148" s="44" t="str"/>
    </x:row>
    <x:row r="149" ht="54" customHeight="1">
      <x:c r="A149" s="46" t="n">
        <x:v>137</x:v>
      </x:c>
      <x:c r="B149" s="44" t="str">
        <x:v>異常系</x:v>
      </x:c>
      <x:c r="C149" s="44" t="str">
        <x:v>登録処理</x:v>
      </x:c>
      <x:c r="D149" s="44" t="str">
        <x:v>SQL例外</x:v>
      </x:c>
      <x:c r="E149" s="44" t="str">
        <x:v>依頼確認画面に遷移済み</x:v>
      </x:c>
      <x:c r="F149" s="44" t="str">
        <x:v>DB制約違反が発生するデータで登録する</x:v>
      </x:c>
      <x:c r="G149" s="44" t="str">
        <x:v>ロールバックされ、エラー画面へ遷移する</x:v>
      </x:c>
      <x:c r="H149" s="48" t="str"/>
      <x:c r="I149" s="46" t="str">
        <x:v>康</x:v>
      </x:c>
      <x:c r="J149" s="46" t="str"/>
      <x:c r="K149" s="44" t="str"/>
    </x:row>
    <x:row r="150" ht="54" customHeight="1">
      <x:c r="A150" s="46" t="n">
        <x:v>138</x:v>
      </x:c>
      <x:c r="B150" s="44" t="str">
        <x:v>異常系</x:v>
      </x:c>
      <x:c r="C150" s="44" t="str">
        <x:v>登録処理</x:v>
      </x:c>
      <x:c r="D150" s="44" t="str">
        <x:v>重複送信</x:v>
      </x:c>
      <x:c r="E150" s="44" t="str">
        <x:v>依頼確認画面に遷移済み</x:v>
      </x:c>
      <x:c r="F150" s="44" t="str">
        <x:v>登録ボタンを連続クリックする</x:v>
      </x:c>
      <x:c r="G150" s="44" t="str">
        <x:v>同一内容が2件登録されない</x:v>
      </x:c>
      <x:c r="H150" s="48" t="str"/>
      <x:c r="I150" s="46" t="str">
        <x:v>康</x:v>
      </x:c>
      <x:c r="J150" s="46" t="str"/>
      <x:c r="K150" s="44" t="str"/>
    </x:row>
    <x:row r="151" ht="54" customHeight="1">
      <x:c r="A151" s="46" t="n">
        <x:v>139</x:v>
      </x:c>
      <x:c r="B151" s="44" t="str">
        <x:v>異常系</x:v>
      </x:c>
      <x:c r="C151" s="44" t="str">
        <x:v>登録処理</x:v>
      </x:c>
      <x:c r="D151" s="44" t="str">
        <x:v>戻る再送信</x:v>
      </x:c>
      <x:c r="E151" s="44" t="str">
        <x:v>依頼確認画面に遷移済み</x:v>
      </x:c>
      <x:c r="F151" s="44" t="str">
        <x:v>完了後ブラウザ戻るで確認画面へ戻り登録ボタンを押す</x:v>
      </x:c>
      <x:c r="G151" s="44" t="str">
        <x:v>二重登録されない、または再送信警告が出る</x:v>
      </x:c>
      <x:c r="H151" s="48" t="str"/>
      <x:c r="I151" s="46" t="str">
        <x:v>康</x:v>
      </x:c>
      <x:c r="J151" s="46" t="str"/>
      <x:c r="K151" s="44" t="str"/>
    </x:row>
    <x:row r="152" ht="54" customHeight="1">
      <x:c r="A152" s="46" t="n">
        <x:v>140</x:v>
      </x:c>
      <x:c r="B152" s="44" t="str">
        <x:v>異常系</x:v>
      </x:c>
      <x:c r="C152" s="44" t="str">
        <x:v>登録処理</x:v>
      </x:c>
      <x:c r="D152" s="44" t="str">
        <x:v>文字数超過サーバ側</x:v>
      </x:c>
      <x:c r="E152" s="44" t="str">
        <x:v>依頼確認画面に遷移済み</x:v>
      </x:c>
      <x:c r="F152" s="44" t="str">
        <x:v>画面制限を回避して長文をPOSTする</x:v>
      </x:c>
      <x:c r="G152" s="44" t="str">
        <x:v>サーバ側でバリデーションされ、DB登録されない</x:v>
      </x:c>
      <x:c r="H152" s="48" t="str"/>
      <x:c r="I152" s="46" t="str">
        <x:v>康</x:v>
      </x:c>
      <x:c r="J152" s="46" t="str"/>
      <x:c r="K152" s="44" t="str"/>
    </x:row>
    <x:row r="153" ht="54" customHeight="1">
      <x:c r="A153" s="46" t="n">
        <x:v>141</x:v>
      </x:c>
      <x:c r="B153" s="44" t="str">
        <x:v>異常系</x:v>
      </x:c>
      <x:c r="C153" s="44" t="str">
        <x:v>登録処理</x:v>
      </x:c>
      <x:c r="D153" s="44" t="str">
        <x:v>NULL防止</x:v>
      </x:c>
      <x:c r="E153" s="44" t="str">
        <x:v>依頼確認画面に遷移済み</x:v>
      </x:c>
      <x:c r="F153" s="44" t="str">
        <x:v>必須値をnullにして登録処理を実行する</x:v>
      </x:c>
      <x:c r="G153" s="44" t="str">
        <x:v>DB登録されず、エラー処理される</x:v>
      </x:c>
      <x:c r="H153" s="48" t="str"/>
      <x:c r="I153" s="46" t="str">
        <x:v>康</x:v>
      </x:c>
      <x:c r="J153" s="46" t="str"/>
      <x:c r="K153" s="44" t="str"/>
    </x:row>
    <x:row r="154" ht="54" customHeight="1">
      <x:c r="A154" s="46" t="n">
        <x:v>142</x:v>
      </x:c>
      <x:c r="B154" s="44" t="str">
        <x:v>セキュリティ</x:v>
      </x:c>
      <x:c r="C154" s="44" t="str">
        <x:v>登録処理</x:v>
      </x:c>
      <x:c r="D154" s="44" t="str">
        <x:v>SQLインジェクション保存</x:v>
      </x:c>
      <x:c r="E154" s="44" t="str">
        <x:v>依頼確認画面に遷移済み</x:v>
      </x:c>
      <x:c r="F154" s="44" t="str">
        <x:v>SQL風文字列を含む入力値で登録する</x:v>
      </x:c>
      <x:c r="G154" s="44" t="str">
        <x:v>SQL文として実行されず、文字列として保存または入力エラーになる</x:v>
      </x:c>
      <x:c r="H154" s="48" t="str"/>
      <x:c r="I154" s="46" t="str">
        <x:v>康</x:v>
      </x:c>
      <x:c r="J154" s="46" t="str"/>
      <x:c r="K154" s="44" t="str"/>
    </x:row>
    <x:row r="155" ht="54" customHeight="1">
      <x:c r="A155" s="46" t="n">
        <x:v>143</x:v>
      </x:c>
      <x:c r="B155" s="44" t="str">
        <x:v>セキュリティ</x:v>
      </x:c>
      <x:c r="C155" s="44" t="str">
        <x:v>登録処理</x:v>
      </x:c>
      <x:c r="D155" s="44" t="str">
        <x:v>XSS保存</x:v>
      </x:c>
      <x:c r="E155" s="44" t="str">
        <x:v>依頼確認画面に遷移済み</x:v>
      </x:c>
      <x:c r="F155" s="44" t="str">
        <x:v>scriptタグを含む入力値で登録する</x:v>
      </x:c>
      <x:c r="G155" s="44" t="str">
        <x:v>保存後に表示してもスクリプトが実行されない</x:v>
      </x:c>
      <x:c r="H155" s="48" t="str"/>
      <x:c r="I155" s="46" t="str">
        <x:v>康</x:v>
      </x:c>
      <x:c r="J155" s="46" t="str"/>
      <x:c r="K155" s="44" t="str"/>
    </x:row>
    <x:row r="156" ht="54" customHeight="1">
      <x:c r="A156" s="46" t="n">
        <x:v>144</x:v>
      </x:c>
      <x:c r="B156" s="44" t="str">
        <x:v>正常系</x:v>
      </x:c>
      <x:c r="C156" s="44" t="str">
        <x:v>登録処理</x:v>
      </x:c>
      <x:c r="D156" s="44" t="str">
        <x:v>コミット</x:v>
      </x:c>
      <x:c r="E156" s="44" t="str">
        <x:v>依頼確認画面に遷移済み</x:v>
      </x:c>
      <x:c r="F156" s="44" t="str">
        <x:v>登録ボタンを押して完了画面まで遷移する</x:v>
      </x:c>
      <x:c r="G156" s="44" t="str">
        <x:v>DBに登録内容がコミットされている</x:v>
      </x:c>
      <x:c r="H156" s="48" t="str"/>
      <x:c r="I156" s="46" t="str">
        <x:v>康</x:v>
      </x:c>
      <x:c r="J156" s="46" t="str"/>
      <x:c r="K156" s="44" t="str"/>
    </x:row>
    <x:row r="157" ht="54" customHeight="1">
      <x:c r="A157" s="46" t="n">
        <x:v>145</x:v>
      </x:c>
      <x:c r="B157" s="44" t="str">
        <x:v>正常系</x:v>
      </x:c>
      <x:c r="C157" s="44" t="str">
        <x:v>登録処理</x:v>
      </x:c>
      <x:c r="D157" s="44" t="str">
        <x:v>セッション削除</x:v>
      </x:c>
      <x:c r="E157" s="44" t="str">
        <x:v>依頼確認画面に遷移済み</x:v>
      </x:c>
      <x:c r="F157" s="44" t="str">
        <x:v>登録完了後、入力画面に戻る</x:v>
      </x:c>
      <x:c r="G157" s="44" t="str">
        <x:v>登録済みの入力値が不要に残っていない</x:v>
      </x:c>
      <x:c r="H157" s="48" t="str"/>
      <x:c r="I157" s="46" t="str">
        <x:v>康</x:v>
      </x:c>
      <x:c r="J157" s="46" t="str"/>
      <x:c r="K157" s="44" t="str"/>
    </x:row>
    <x:row r="158" ht="54" customHeight="1">
      <x:c r="A158" s="46" t="n">
        <x:v>146</x:v>
      </x:c>
      <x:c r="B158" s="44" t="str">
        <x:v>正常系</x:v>
      </x:c>
      <x:c r="C158" s="44" t="str">
        <x:v>完了画面</x:v>
      </x:c>
      <x:c r="D158" s="44" t="str">
        <x:v>表示</x:v>
      </x:c>
      <x:c r="E158" s="44" t="str">
        <x:v>配送依頼データが登録済み</x:v>
      </x:c>
      <x:c r="F158" s="44" t="str">
        <x:v>登録完了後に完了画面を表示する</x:v>
      </x:c>
      <x:c r="G158" s="44" t="str">
        <x:v>完了メッセージが表示される</x:v>
      </x:c>
      <x:c r="H158" s="48" t="str"/>
      <x:c r="I158" s="46" t="str">
        <x:v>康</x:v>
      </x:c>
      <x:c r="J158" s="46" t="str"/>
      <x:c r="K158" s="44" t="str"/>
    </x:row>
    <x:row r="159" ht="54" customHeight="1">
      <x:c r="A159" s="46" t="n">
        <x:v>147</x:v>
      </x:c>
      <x:c r="B159" s="44" t="str">
        <x:v>正常系</x:v>
      </x:c>
      <x:c r="C159" s="44" t="str">
        <x:v>完了画面</x:v>
      </x:c>
      <x:c r="D159" s="44" t="str">
        <x:v>トップへ戻る</x:v>
      </x:c>
      <x:c r="E159" s="44" t="str">
        <x:v>配送依頼データが登録済み</x:v>
      </x:c>
      <x:c r="F159" s="44" t="str">
        <x:v>トップへ戻るボタンを押す</x:v>
      </x:c>
      <x:c r="G159" s="44" t="str">
        <x:v>顧客トップ画面へ遷移する</x:v>
      </x:c>
      <x:c r="H159" s="48" t="str"/>
      <x:c r="I159" s="46" t="str">
        <x:v>康</x:v>
      </x:c>
      <x:c r="J159" s="46" t="str"/>
      <x:c r="K159" s="44" t="str"/>
    </x:row>
    <x:row r="160" ht="54" customHeight="1">
      <x:c r="A160" s="46" t="n">
        <x:v>148</x:v>
      </x:c>
      <x:c r="B160" s="44" t="str">
        <x:v>正常系</x:v>
      </x:c>
      <x:c r="C160" s="44" t="str">
        <x:v>完了画面</x:v>
      </x:c>
      <x:c r="D160" s="44" t="str">
        <x:v>配送情報検索へ</x:v>
      </x:c>
      <x:c r="E160" s="44" t="str">
        <x:v>配送依頼データが登録済み</x:v>
      </x:c>
      <x:c r="F160" s="44" t="str">
        <x:v>配送情報検索ボタンを押す</x:v>
      </x:c>
      <x:c r="G160" s="44" t="str">
        <x:v>配送情報検索画面へ遷移する</x:v>
      </x:c>
      <x:c r="H160" s="48" t="str"/>
      <x:c r="I160" s="46" t="str">
        <x:v>康</x:v>
      </x:c>
      <x:c r="J160" s="46" t="str"/>
      <x:c r="K160" s="44" t="str"/>
    </x:row>
    <x:row r="161" ht="54" customHeight="1">
      <x:c r="A161" s="46" t="n">
        <x:v>149</x:v>
      </x:c>
      <x:c r="B161" s="44" t="str">
        <x:v>異常系</x:v>
      </x:c>
      <x:c r="C161" s="44" t="str">
        <x:v>完了画面</x:v>
      </x:c>
      <x:c r="D161" s="44" t="str">
        <x:v>未ログインアクセス</x:v>
      </x:c>
      <x:c r="E161" s="44" t="str">
        <x:v>未ログイン状態</x:v>
      </x:c>
      <x:c r="F161" s="44" t="str">
        <x:v>完了画面URLを直接入力する</x:v>
      </x:c>
      <x:c r="G161" s="44" t="str">
        <x:v>ログイン画面へリダイレクトされる</x:v>
      </x:c>
      <x:c r="H161" s="48" t="str"/>
      <x:c r="I161" s="46" t="str">
        <x:v>康</x:v>
      </x:c>
      <x:c r="J161" s="46" t="str"/>
      <x:c r="K161" s="44" t="str"/>
    </x:row>
    <x:row r="162" ht="54" customHeight="1">
      <x:c r="A162" s="46" t="n">
        <x:v>150</x:v>
      </x:c>
      <x:c r="B162" s="44" t="str">
        <x:v>異常系</x:v>
      </x:c>
      <x:c r="C162" s="44" t="str">
        <x:v>完了画面</x:v>
      </x:c>
      <x:c r="D162" s="44" t="str">
        <x:v>直接アクセス</x:v>
      </x:c>
      <x:c r="E162" s="44" t="str">
        <x:v>user_id='226005'としてログイン済み</x:v>
      </x:c>
      <x:c r="F162" s="44" t="str">
        <x:v>登録処理なしで完了画面URLを直接入力する</x:v>
      </x:c>
      <x:c r="G162" s="44" t="str">
        <x:v>顧客トップまたは配送依頼画面へ遷移する</x:v>
      </x:c>
      <x:c r="H162" s="48" t="str"/>
      <x:c r="I162" s="46" t="str">
        <x:v>康</x:v>
      </x:c>
      <x:c r="J162" s="46" t="str"/>
      <x:c r="K162" s="44" t="str"/>
    </x:row>
    <x:row r="163" ht="54" customHeight="1">
      <x:c r="A163" s="46" t="n">
        <x:v>151</x:v>
      </x:c>
      <x:c r="B163" s="44" t="str">
        <x:v>正常系</x:v>
      </x:c>
      <x:c r="C163" s="44" t="str">
        <x:v>配送情報検索画面</x:v>
      </x:c>
      <x:c r="D163" s="44" t="str">
        <x:v>初期表示</x:v>
      </x:c>
      <x:c r="E163" s="44" t="str">
        <x:v>user_id='226005'としてログイン済み</x:v>
      </x:c>
      <x:c r="F163" s="44" t="str">
        <x:v>配送情報検索画面を表示する</x:v>
      </x:c>
      <x:c r="G163" s="44" t="str">
        <x:v>配送番号入力欄、検索ボタン、戻るボタンが表示される</x:v>
      </x:c>
      <x:c r="H163" s="48" t="str"/>
      <x:c r="I163" s="46" t="str">
        <x:v>康</x:v>
      </x:c>
      <x:c r="J163" s="46" t="str"/>
      <x:c r="K163" s="44" t="str"/>
    </x:row>
    <x:row r="164" ht="54" customHeight="1">
      <x:c r="A164" s="46" t="n">
        <x:v>152</x:v>
      </x:c>
      <x:c r="B164" s="44" t="str">
        <x:v>正常系</x:v>
      </x:c>
      <x:c r="C164" s="44" t="str">
        <x:v>配送情報検索画面</x:v>
      </x:c>
      <x:c r="D164" s="44" t="str">
        <x:v>配送番号検索</x:v>
      </x:c>
      <x:c r="E164" s="44" t="str">
        <x:v>配送依頼データが登録済み</x:v>
      </x:c>
      <x:c r="F164" s="44" t="str">
        <x:v>登録済み配送番号を入力して検索ボタンを押す</x:v>
      </x:c>
      <x:c r="G164" s="44" t="str">
        <x:v>該当配送情報が表示される</x:v>
      </x:c>
      <x:c r="H164" s="48" t="str"/>
      <x:c r="I164" s="46" t="str">
        <x:v>康</x:v>
      </x:c>
      <x:c r="J164" s="46" t="str"/>
      <x:c r="K164" s="44" t="str"/>
    </x:row>
    <x:row r="165" ht="54" customHeight="1">
      <x:c r="A165" s="46" t="n">
        <x:v>153</x:v>
      </x:c>
      <x:c r="B165" s="44" t="str">
        <x:v>異常系</x:v>
      </x:c>
      <x:c r="C165" s="44" t="str">
        <x:v>配送情報検索画面</x:v>
      </x:c>
      <x:c r="D165" s="44" t="str">
        <x:v>未存在番号</x:v>
      </x:c>
      <x:c r="E165" s="44" t="str">
        <x:v>user_id='226005'としてログイン済み</x:v>
      </x:c>
      <x:c r="F165" s="44" t="str">
        <x:v>存在しない配送番号を入力して検索ボタンを押す</x:v>
      </x:c>
      <x:c r="G165" s="44" t="str">
        <x:v>該当データなしのメッセージが表示される</x:v>
      </x:c>
      <x:c r="H165" s="48" t="str"/>
      <x:c r="I165" s="46" t="str">
        <x:v>康</x:v>
      </x:c>
      <x:c r="J165" s="46" t="str"/>
      <x:c r="K165" s="44" t="str"/>
    </x:row>
    <x:row r="166" ht="54" customHeight="1">
      <x:c r="A166" s="46" t="n">
        <x:v>154</x:v>
      </x:c>
      <x:c r="B166" s="44" t="str">
        <x:v>異常系</x:v>
      </x:c>
      <x:c r="C166" s="44" t="str">
        <x:v>配送情報検索画面</x:v>
      </x:c>
      <x:c r="D166" s="44" t="str">
        <x:v>空欄検索</x:v>
      </x:c>
      <x:c r="E166" s="44" t="str">
        <x:v>user_id='226005'としてログイン済み</x:v>
      </x:c>
      <x:c r="F166" s="44" t="str">
        <x:v>配送番号を空欄にして検索ボタンを押す</x:v>
      </x:c>
      <x:c r="G166" s="44" t="str">
        <x:v>入力エラーメッセージが表示される</x:v>
      </x:c>
      <x:c r="H166" s="48" t="str"/>
      <x:c r="I166" s="46" t="str">
        <x:v>康</x:v>
      </x:c>
      <x:c r="J166" s="46" t="str"/>
      <x:c r="K166" s="44" t="str"/>
    </x:row>
    <x:row r="167" ht="54" customHeight="1">
      <x:c r="A167" s="46" t="n">
        <x:v>155</x:v>
      </x:c>
      <x:c r="B167" s="44" t="str">
        <x:v>異常系</x:v>
      </x:c>
      <x:c r="C167" s="44" t="str">
        <x:v>配送情報検索画面</x:v>
      </x:c>
      <x:c r="D167" s="44" t="str">
        <x:v>不正文字</x:v>
      </x:c>
      <x:c r="E167" s="44" t="str">
        <x:v>user_id='226005'としてログイン済み</x:v>
      </x:c>
      <x:c r="F167" s="44" t="str">
        <x:v>配送番号に英字や記号を入力して検索ボタンを押す</x:v>
      </x:c>
      <x:c r="G167" s="44" t="str">
        <x:v>不正入力エラーが表示される</x:v>
      </x:c>
      <x:c r="H167" s="48" t="str"/>
      <x:c r="I167" s="46" t="str">
        <x:v>康</x:v>
      </x:c>
      <x:c r="J167" s="46" t="str"/>
      <x:c r="K167" s="44" t="str"/>
    </x:row>
    <x:row r="168" ht="54" customHeight="1">
      <x:c r="A168" s="46" t="n">
        <x:v>156</x:v>
      </x:c>
      <x:c r="B168" s="44" t="str">
        <x:v>セキュリティ</x:v>
      </x:c>
      <x:c r="C168" s="44" t="str">
        <x:v>配送情報検索画面</x:v>
      </x:c>
      <x:c r="D168" s="44" t="str">
        <x:v>SQLインジェクション</x:v>
      </x:c>
      <x:c r="E168" s="44" t="str">
        <x:v>user_id='226005'としてログイン済み</x:v>
      </x:c>
      <x:c r="F168" s="44" t="str">
        <x:v>配送番号に「1 OR 1=1」を入力して検索する</x:v>
      </x:c>
      <x:c r="G168" s="44" t="str">
        <x:v>複数件が不正表示されず、SQLエラーが出ない</x:v>
      </x:c>
      <x:c r="H168" s="48" t="str"/>
      <x:c r="I168" s="46" t="str">
        <x:v>康</x:v>
      </x:c>
      <x:c r="J168" s="46" t="str"/>
      <x:c r="K168" s="44" t="str"/>
    </x:row>
    <x:row r="169" ht="54" customHeight="1">
      <x:c r="A169" s="46" t="n">
        <x:v>157</x:v>
      </x:c>
      <x:c r="B169" s="44" t="str">
        <x:v>正常系</x:v>
      </x:c>
      <x:c r="C169" s="44" t="str">
        <x:v>配送状況表示画面</x:v>
      </x:c>
      <x:c r="D169" s="44" t="str">
        <x:v>表示</x:v>
      </x:c>
      <x:c r="E169" s="44" t="str">
        <x:v>配送依頼データが登録済み</x:v>
      </x:c>
      <x:c r="F169" s="44" t="str">
        <x:v>検索結果から配送状況表示画面へ遷移する</x:v>
      </x:c>
      <x:c r="G169" s="44" t="str">
        <x:v>氏名、住所、配送番号、配送状況が表示される</x:v>
      </x:c>
      <x:c r="H169" s="48" t="str"/>
      <x:c r="I169" s="46" t="str">
        <x:v>康</x:v>
      </x:c>
      <x:c r="J169" s="46" t="str"/>
      <x:c r="K169" s="44" t="str"/>
    </x:row>
    <x:row r="170" ht="54" customHeight="1">
      <x:c r="A170" s="46" t="n">
        <x:v>158</x:v>
      </x:c>
      <x:c r="B170" s="44" t="str">
        <x:v>正常系</x:v>
      </x:c>
      <x:c r="C170" s="44" t="str">
        <x:v>配送状況表示画面</x:v>
      </x:c>
      <x:c r="D170" s="44" t="str">
        <x:v>戻る</x:v>
      </x:c>
      <x:c r="E170" s="44" t="str">
        <x:v>配送依頼データが登録済み</x:v>
      </x:c>
      <x:c r="F170" s="44" t="str">
        <x:v>戻るボタンを押す</x:v>
      </x:c>
      <x:c r="G170" s="44" t="str">
        <x:v>配送情報検索画面へ戻る</x:v>
      </x:c>
      <x:c r="H170" s="48" t="str"/>
      <x:c r="I170" s="46" t="str">
        <x:v>康</x:v>
      </x:c>
      <x:c r="J170" s="46" t="str"/>
      <x:c r="K170" s="44" t="str"/>
    </x:row>
    <x:row r="171" ht="54" customHeight="1">
      <x:c r="A171" s="46" t="n">
        <x:v>159</x:v>
      </x:c>
      <x:c r="B171" s="44" t="str">
        <x:v>異常系</x:v>
      </x:c>
      <x:c r="C171" s="44" t="str">
        <x:v>配送状況表示画面</x:v>
      </x:c>
      <x:c r="D171" s="44" t="str">
        <x:v>他人データ</x:v>
      </x:c>
      <x:c r="E171" s="44" t="str">
        <x:v>user_id='226005'としてログイン済み</x:v>
      </x:c>
      <x:c r="F171" s="44" t="str">
        <x:v>別ユーザの配送番号を検索する</x:v>
      </x:c>
      <x:c r="G171" s="44" t="str">
        <x:v>自分以外の配送情報が表示されない</x:v>
      </x:c>
      <x:c r="H171" s="48" t="str"/>
      <x:c r="I171" s="46" t="str">
        <x:v>康</x:v>
      </x:c>
      <x:c r="J171" s="46" t="str"/>
      <x:c r="K171" s="44" t="str"/>
    </x:row>
    <x:row r="172" ht="54" customHeight="1">
      <x:c r="A172" s="46" t="n">
        <x:v>160</x:v>
      </x:c>
      <x:c r="B172" s="44" t="str">
        <x:v>正常系</x:v>
      </x:c>
      <x:c r="C172" s="44" t="str">
        <x:v>配送状況表示画面</x:v>
      </x:c>
      <x:c r="D172" s="44" t="str">
        <x:v>権限別ボタン</x:v>
      </x:c>
      <x:c r="E172" s="44" t="str">
        <x:v>担当者ではないユーザで配送状況表示画面を開く</x:v>
      </x:c>
      <x:c r="F172" s="44" t="str">
        <x:v>画面を表示する</x:v>
      </x:c>
      <x:c r="G172" s="44" t="str">
        <x:v>持ち帰り・配送済み等の担当者用ボタンが表示されない</x:v>
      </x:c>
      <x:c r="H172" s="48" t="str"/>
      <x:c r="I172" s="46" t="str">
        <x:v>康</x:v>
      </x:c>
      <x:c r="J172" s="46" t="str"/>
      <x:c r="K172" s="44" t="str"/>
    </x:row>
    <x:row r="173">
      <x:c r="A173" s="50" t="n">
        <x:v>161</x:v>
      </x:c>
      <x:c r="B173" s="50" t="str">
        <x:v>正常系</x:v>
      </x:c>
      <x:c r="C173" s="50" t="str">
        <x:v>配送側ログイン</x:v>
      </x:c>
      <x:c r="D173" s="50" t="str">
        <x:v>ID・パスワード</x:v>
      </x:c>
      <x:c r="E173" s="52" t="str">
        <x:v>delivery_userテーブルに配送担当者 user_id='yamada'、password='yamada' が登録済み</x:v>
      </x:c>
      <x:c r="F173" s="52" t="str">
        <x:v>配送担当者IDとパスワードを入力してログインボタンを押す</x:v>
      </x:c>
      <x:c r="G173" s="52" t="str">
        <x:v>ログインに成功し、配送情報検索画面または配送担当トップ画面へ遷移する</x:v>
      </x:c>
      <x:c r="H173" s="50"/>
      <x:c r="I173" s="50" t="str">
        <x:v>康</x:v>
      </x:c>
      <x:c r="J173" s="50"/>
      <x:c r="K173" s="52"/>
      <x:c r="L173"/>
      <x:c r="M173"/>
      <x:c r="N173"/>
    </x:row>
    <x:row r="174">
      <x:c r="A174" s="50" t="n">
        <x:v>162</x:v>
      </x:c>
      <x:c r="B174" s="50" t="str">
        <x:v>正常系</x:v>
      </x:c>
      <x:c r="C174" s="50" t="str">
        <x:v>配送側ログイン</x:v>
      </x:c>
      <x:c r="D174" s="50" t="str">
        <x:v>ログアウト</x:v>
      </x:c>
      <x:c r="E174" s="52" t="str">
        <x:v>配送担当者としてログイン済み</x:v>
      </x:c>
      <x:c r="F174" s="52" t="str">
        <x:v>ヘッダーのログアウトボタンを押す</x:v>
      </x:c>
      <x:c r="G174" s="52" t="str">
        <x:v>セッションが破棄され、配送担当ログイン画面へ遷移する</x:v>
      </x:c>
      <x:c r="H174" s="50"/>
      <x:c r="I174" s="50" t="str">
        <x:v>康</x:v>
      </x:c>
      <x:c r="J174" s="50"/>
      <x:c r="K174" s="52"/>
      <x:c r="L174"/>
      <x:c r="M174"/>
      <x:c r="N174"/>
    </x:row>
    <x:row r="175">
      <x:c r="A175" s="50" t="n">
        <x:v>163</x:v>
      </x:c>
      <x:c r="B175" s="50" t="str">
        <x:v>異常系</x:v>
      </x:c>
      <x:c r="C175" s="50" t="str">
        <x:v>配送側ログイン</x:v>
      </x:c>
      <x:c r="D175" s="50" t="str">
        <x:v>ID不一致</x:v>
      </x:c>
      <x:c r="E175" s="52" t="str">
        <x:v>delivery_userテーブルに user_id='yamada' が登録済み</x:v>
      </x:c>
      <x:c r="F175" s="52" t="str">
        <x:v>IDに存在しない値、パスワードに正しい値を入力してログインする</x:v>
      </x:c>
      <x:c r="G175" s="52" t="str">
        <x:v>ログインに失敗し、エラーメッセージが表示される</x:v>
      </x:c>
      <x:c r="H175" s="50"/>
      <x:c r="I175" s="50" t="str">
        <x:v>康</x:v>
      </x:c>
      <x:c r="J175" s="50"/>
      <x:c r="K175" s="52"/>
      <x:c r="L175"/>
      <x:c r="M175"/>
      <x:c r="N175"/>
    </x:row>
    <x:row r="176">
      <x:c r="A176" s="50" t="n">
        <x:v>164</x:v>
      </x:c>
      <x:c r="B176" s="50" t="str">
        <x:v>異常系</x:v>
      </x:c>
      <x:c r="C176" s="50" t="str">
        <x:v>配送側ログイン</x:v>
      </x:c>
      <x:c r="D176" s="50" t="str">
        <x:v>パスワード不一致</x:v>
      </x:c>
      <x:c r="E176" s="52" t="str">
        <x:v>delivery_userテーブルに user_id='yamada'、password='yamada' が登録済み</x:v>
      </x:c>
      <x:c r="F176" s="52" t="str">
        <x:v>IDに'yamada'、パスワードに誤った値を入力してログインする</x:v>
      </x:c>
      <x:c r="G176" s="52" t="str">
        <x:v>ログインに失敗し、配送担当者用セッションが作成されない</x:v>
      </x:c>
      <x:c r="H176" s="50"/>
      <x:c r="I176" s="50" t="str">
        <x:v>康</x:v>
      </x:c>
      <x:c r="J176" s="50"/>
      <x:c r="K176" s="52"/>
      <x:c r="L176"/>
      <x:c r="M176"/>
      <x:c r="N176"/>
    </x:row>
    <x:row r="177">
      <x:c r="A177" s="50" t="n">
        <x:v>165</x:v>
      </x:c>
      <x:c r="B177" s="50" t="str">
        <x:v>異常系</x:v>
      </x:c>
      <x:c r="C177" s="50" t="str">
        <x:v>配送側ログイン</x:v>
      </x:c>
      <x:c r="D177" s="50" t="str">
        <x:v>ID未入力</x:v>
      </x:c>
      <x:c r="E177" s="52" t="str">
        <x:v>配送担当者ログイン画面を表示している</x:v>
      </x:c>
      <x:c r="F177" s="52" t="str">
        <x:v>IDを空欄、パスワードのみ入力してログインする</x:v>
      </x:c>
      <x:c r="G177" s="52" t="str">
        <x:v>入力エラーまたはログイン失敗メッセージが表示される</x:v>
      </x:c>
      <x:c r="H177" s="50"/>
      <x:c r="I177" s="50" t="str">
        <x:v>康</x:v>
      </x:c>
      <x:c r="J177" s="50"/>
      <x:c r="K177" s="52"/>
      <x:c r="L177"/>
      <x:c r="M177"/>
      <x:c r="N177"/>
    </x:row>
    <x:row r="178">
      <x:c r="A178" s="50" t="n">
        <x:v>166</x:v>
      </x:c>
      <x:c r="B178" s="50" t="str">
        <x:v>異常系</x:v>
      </x:c>
      <x:c r="C178" s="50" t="str">
        <x:v>配送側ログイン</x:v>
      </x:c>
      <x:c r="D178" s="50" t="str">
        <x:v>パスワード未入力</x:v>
      </x:c>
      <x:c r="E178" s="52" t="str">
        <x:v>配送担当者ログイン画面を表示している</x:v>
      </x:c>
      <x:c r="F178" s="52" t="str">
        <x:v>IDのみ入力し、パスワードを空欄にしてログインする</x:v>
      </x:c>
      <x:c r="G178" s="52" t="str">
        <x:v>入力エラーまたはログイン失敗メッセージが表示される</x:v>
      </x:c>
      <x:c r="H178" s="50"/>
      <x:c r="I178" s="50" t="str">
        <x:v>康</x:v>
      </x:c>
      <x:c r="J178" s="50"/>
      <x:c r="K178" s="52"/>
      <x:c r="L178"/>
      <x:c r="M178"/>
      <x:c r="N178"/>
    </x:row>
    <x:row r="179">
      <x:c r="A179" s="50" t="n">
        <x:v>167</x:v>
      </x:c>
      <x:c r="B179" s="50" t="str">
        <x:v>異常系</x:v>
      </x:c>
      <x:c r="C179" s="50" t="str">
        <x:v>配送側ログイン</x:v>
      </x:c>
      <x:c r="D179" s="50" t="str">
        <x:v>両方未入力</x:v>
      </x:c>
      <x:c r="E179" s="52" t="str">
        <x:v>配送担当者ログイン画面を表示している</x:v>
      </x:c>
      <x:c r="F179" s="52" t="str">
        <x:v>IDとパスワードをどちらも空欄にしてログインする</x:v>
      </x:c>
      <x:c r="G179" s="52" t="str">
        <x:v>ログイン処理が行われず、入力を促すメッセージが表示される</x:v>
      </x:c>
      <x:c r="H179" s="50"/>
      <x:c r="I179" s="50" t="str">
        <x:v>康</x:v>
      </x:c>
      <x:c r="J179" s="50"/>
      <x:c r="K179" s="52"/>
      <x:c r="L179"/>
      <x:c r="M179"/>
      <x:c r="N179"/>
    </x:row>
    <x:row r="180">
      <x:c r="A180" s="50" t="n">
        <x:v>168</x:v>
      </x:c>
      <x:c r="B180" s="50" t="str">
        <x:v>セキュリティ</x:v>
      </x:c>
      <x:c r="C180" s="50" t="str">
        <x:v>配送側ログイン</x:v>
      </x:c>
      <x:c r="D180" s="50" t="str">
        <x:v>SQLインジェクション</x:v>
      </x:c>
      <x:c r="E180" s="52" t="str">
        <x:v>配送担当者ログイン画面を表示している</x:v>
      </x:c>
      <x:c r="F180" s="52" t="str">
        <x:v>ID欄に「' OR '1'='1」を入力してログインする</x:v>
      </x:c>
      <x:c r="G180" s="52" t="str">
        <x:v>不正ログインできず、SQLエラーやスタックトレースが表示されない</x:v>
      </x:c>
      <x:c r="H180" s="50"/>
      <x:c r="I180" s="50" t="str">
        <x:v>康</x:v>
      </x:c>
      <x:c r="J180" s="50"/>
      <x:c r="K180" s="52"/>
      <x:c r="L180"/>
      <x:c r="M180"/>
      <x:c r="N180"/>
    </x:row>
    <x:row r="181">
      <x:c r="A181" s="50" t="n">
        <x:v>169</x:v>
      </x:c>
      <x:c r="B181" s="50" t="str">
        <x:v>セキュリティ</x:v>
      </x:c>
      <x:c r="C181" s="50" t="str">
        <x:v>配送側ログイン</x:v>
      </x:c>
      <x:c r="D181" s="50" t="str">
        <x:v>XSS入力</x:v>
      </x:c>
      <x:c r="E181" s="52" t="str">
        <x:v>配送担当者ログイン画面を表示している</x:v>
      </x:c>
      <x:c r="F181" s="52" t="str">
        <x:v>ID欄に「&lt;script&gt;alert(1)&lt;/script&gt;」を入力してログインする</x:v>
      </x:c>
      <x:c r="G181" s="52" t="str">
        <x:v>スクリプトが実行されず、通常のエラー表示になる</x:v>
      </x:c>
      <x:c r="H181" s="50"/>
      <x:c r="I181" s="50" t="str">
        <x:v>康</x:v>
      </x:c>
      <x:c r="J181" s="50"/>
      <x:c r="K181" s="52"/>
      <x:c r="L181"/>
      <x:c r="M181"/>
      <x:c r="N181"/>
    </x:row>
    <x:row r="182">
      <x:c r="A182" s="50" t="n">
        <x:v>170</x:v>
      </x:c>
      <x:c r="B182" s="50" t="str">
        <x:v>正常系</x:v>
      </x:c>
      <x:c r="C182" s="50" t="str">
        <x:v>配送側セッション</x:v>
      </x:c>
      <x:c r="D182" s="50" t="str">
        <x:v>ログイン保持</x:v>
      </x:c>
      <x:c r="E182" s="52" t="str">
        <x:v>配送担当者としてログイン済み</x:v>
      </x:c>
      <x:c r="F182" s="52" t="str">
        <x:v>配送情報検索画面を再読み込みする</x:v>
      </x:c>
      <x:c r="G182" s="52" t="str">
        <x:v>ログイン状態が保持され、ログイン画面へ戻されない</x:v>
      </x:c>
      <x:c r="H182" s="50"/>
      <x:c r="I182" s="50" t="str">
        <x:v>康</x:v>
      </x:c>
      <x:c r="J182" s="50"/>
      <x:c r="K182" s="52"/>
      <x:c r="L182"/>
      <x:c r="M182"/>
      <x:c r="N182"/>
    </x:row>
    <x:row r="183">
      <x:c r="A183" s="50" t="n">
        <x:v>171</x:v>
      </x:c>
      <x:c r="B183" s="50" t="str">
        <x:v>正常系</x:v>
      </x:c>
      <x:c r="C183" s="50" t="str">
        <x:v>配送側ヘッダー</x:v>
      </x:c>
      <x:c r="D183" s="50" t="str">
        <x:v>ユーザ名表示</x:v>
      </x:c>
      <x:c r="E183" s="52" t="str">
        <x:v>配送担当者としてログイン済み</x:v>
      </x:c>
      <x:c r="F183" s="52" t="str">
        <x:v>配送側画面のヘッダーを確認する</x:v>
      </x:c>
      <x:c r="G183" s="52" t="str">
        <x:v>ログイン中の配送担当者名またはユーザIDが表示される</x:v>
      </x:c>
      <x:c r="H183" s="50"/>
      <x:c r="I183" s="50" t="str">
        <x:v>康</x:v>
      </x:c>
      <x:c r="J183" s="50"/>
      <x:c r="K183" s="52"/>
      <x:c r="L183"/>
      <x:c r="M183"/>
      <x:c r="N183"/>
    </x:row>
    <x:row r="184">
      <x:c r="A184" s="50" t="n">
        <x:v>172</x:v>
      </x:c>
      <x:c r="B184" s="50" t="str">
        <x:v>正常系</x:v>
      </x:c>
      <x:c r="C184" s="50" t="str">
        <x:v>配送側ヘッダー</x:v>
      </x:c>
      <x:c r="D184" s="50" t="str">
        <x:v>権限表示</x:v>
      </x:c>
      <x:c r="E184" s="52" t="str">
        <x:v>配送担当者としてログイン済み</x:v>
      </x:c>
      <x:c r="F184" s="52" t="str">
        <x:v>配送側画面のヘッダー表示内容を確認する</x:v>
      </x:c>
      <x:c r="G184" s="52" t="str">
        <x:v>配送担当者向けのメニューだけが表示される</x:v>
      </x:c>
      <x:c r="H184" s="50"/>
      <x:c r="I184" s="50" t="str">
        <x:v>康</x:v>
      </x:c>
      <x:c r="J184" s="50"/>
      <x:c r="K184" s="52"/>
      <x:c r="L184"/>
      <x:c r="M184"/>
      <x:c r="N184"/>
    </x:row>
    <x:row r="185">
      <x:c r="A185" s="50" t="n">
        <x:v>173</x:v>
      </x:c>
      <x:c r="B185" s="50" t="str">
        <x:v>正常系</x:v>
      </x:c>
      <x:c r="C185" s="50" t="str">
        <x:v>配送側ヘッダー</x:v>
      </x:c>
      <x:c r="D185" s="50" t="str">
        <x:v>検索リンク</x:v>
      </x:c>
      <x:c r="E185" s="52" t="str">
        <x:v>配送担当者としてログイン済み</x:v>
      </x:c>
      <x:c r="F185" s="52" t="str">
        <x:v>ヘッダーの配送情報検索リンクを押す</x:v>
      </x:c>
      <x:c r="G185" s="52" t="str">
        <x:v>配送情報検索画面へ遷移する</x:v>
      </x:c>
      <x:c r="H185" s="50"/>
      <x:c r="I185" s="50" t="str">
        <x:v>康</x:v>
      </x:c>
      <x:c r="J185" s="50"/>
      <x:c r="K185" s="52"/>
      <x:c r="L185"/>
      <x:c r="M185"/>
      <x:c r="N185"/>
    </x:row>
    <x:row r="186">
      <x:c r="A186" s="50" t="n">
        <x:v>174</x:v>
      </x:c>
      <x:c r="B186" s="50" t="str">
        <x:v>正常系</x:v>
      </x:c>
      <x:c r="C186" s="50" t="str">
        <x:v>配送側ヘッダー</x:v>
      </x:c>
      <x:c r="D186" s="50" t="str">
        <x:v>ログアウトリンク</x:v>
      </x:c>
      <x:c r="E186" s="52" t="str">
        <x:v>配送担当者としてログイン済み</x:v>
      </x:c>
      <x:c r="F186" s="52" t="str">
        <x:v>ヘッダーのログアウトボタンを押す</x:v>
      </x:c>
      <x:c r="G186" s="52" t="str">
        <x:v>ログアウト処理後、配送担当ログイン画面へ遷移する</x:v>
      </x:c>
      <x:c r="H186" s="50"/>
      <x:c r="I186" s="50" t="str">
        <x:v>康</x:v>
      </x:c>
      <x:c r="J186" s="50"/>
      <x:c r="K186" s="52"/>
      <x:c r="L186"/>
      <x:c r="M186"/>
      <x:c r="N186"/>
    </x:row>
    <x:row r="187">
      <x:c r="A187" s="50" t="n">
        <x:v>175</x:v>
      </x:c>
      <x:c r="B187" s="50" t="str">
        <x:v>異常系</x:v>
      </x:c>
      <x:c r="C187" s="50" t="str">
        <x:v>配送側ヘッダー</x:v>
      </x:c>
      <x:c r="D187" s="50" t="str">
        <x:v>顧客メニュー非表示</x:v>
      </x:c>
      <x:c r="E187" s="52" t="str">
        <x:v>配送担当者としてログイン済み</x:v>
      </x:c>
      <x:c r="F187" s="52" t="str">
        <x:v>配送側ヘッダーに顧客用メニューが表示されていないか確認する</x:v>
      </x:c>
      <x:c r="G187" s="52" t="str">
        <x:v>顧客トップや配送依頼など、顧客用メニューが表示されない</x:v>
      </x:c>
      <x:c r="H187" s="50"/>
      <x:c r="I187" s="50" t="str">
        <x:v>康</x:v>
      </x:c>
      <x:c r="J187" s="50"/>
      <x:c r="K187" s="52"/>
      <x:c r="L187"/>
      <x:c r="M187"/>
      <x:c r="N187"/>
    </x:row>
    <x:row r="188">
      <x:c r="A188" s="50" t="n">
        <x:v>176</x:v>
      </x:c>
      <x:c r="B188" s="50" t="str">
        <x:v>正常系</x:v>
      </x:c>
      <x:c r="C188" s="50" t="str">
        <x:v>配送側トップ画面</x:v>
      </x:c>
      <x:c r="D188" s="50" t="str">
        <x:v>初期表示</x:v>
      </x:c>
      <x:c r="E188" s="52" t="str">
        <x:v>配送担当者としてログイン済み</x:v>
      </x:c>
      <x:c r="F188" s="52" t="str">
        <x:v>配送担当トップ画面を表示する</x:v>
      </x:c>
      <x:c r="G188" s="52" t="str">
        <x:v>配送情報検索への導線、ログアウト導線が表示される</x:v>
      </x:c>
      <x:c r="H188" s="50"/>
      <x:c r="I188" s="50" t="str">
        <x:v>康</x:v>
      </x:c>
      <x:c r="J188" s="50"/>
      <x:c r="K188" s="52"/>
      <x:c r="L188"/>
      <x:c r="M188"/>
      <x:c r="N188"/>
    </x:row>
    <x:row r="189">
      <x:c r="A189" s="50" t="n">
        <x:v>177</x:v>
      </x:c>
      <x:c r="B189" s="50" t="str">
        <x:v>正常系</x:v>
      </x:c>
      <x:c r="C189" s="50" t="str">
        <x:v>配送側トップ画面</x:v>
      </x:c>
      <x:c r="D189" s="50" t="str">
        <x:v>担当なし表示</x:v>
      </x:c>
      <x:c r="E189" s="52" t="str">
        <x:v>ログイン中の配送担当者に担当配送が存在しない</x:v>
      </x:c>
      <x:c r="F189" s="52" t="str">
        <x:v>配送担当トップ画面を表示する</x:v>
      </x:c>
      <x:c r="G189" s="52" t="str">
        <x:v>担当中の配送がないことを示すメッセージが表示される</x:v>
      </x:c>
      <x:c r="H189" s="50"/>
      <x:c r="I189" s="50" t="str">
        <x:v>康</x:v>
      </x:c>
      <x:c r="J189" s="50"/>
      <x:c r="K189" s="52"/>
      <x:c r="L189"/>
      <x:c r="M189"/>
      <x:c r="N189"/>
    </x:row>
    <x:row r="190">
      <x:c r="A190" s="50" t="n">
        <x:v>178</x:v>
      </x:c>
      <x:c r="B190" s="50" t="str">
        <x:v>正常系</x:v>
      </x:c>
      <x:c r="C190" s="50" t="str">
        <x:v>配送側トップ画面</x:v>
      </x:c>
      <x:c r="D190" s="50" t="str">
        <x:v>担当件数表示</x:v>
      </x:c>
      <x:c r="E190" s="52" t="str">
        <x:v>ログイン中の配送担当者に担当配送が複数件存在する</x:v>
      </x:c>
      <x:c r="F190" s="52" t="str">
        <x:v>配送担当トップ画面を表示する</x:v>
      </x:c>
      <x:c r="G190" s="52" t="str">
        <x:v>担当配送件数が正しく表示される</x:v>
      </x:c>
      <x:c r="H190" s="50"/>
      <x:c r="I190" s="50" t="str">
        <x:v>康</x:v>
      </x:c>
      <x:c r="J190" s="50"/>
      <x:c r="K190" s="52"/>
      <x:c r="L190"/>
      <x:c r="M190"/>
      <x:c r="N190"/>
    </x:row>
    <x:row r="191">
      <x:c r="A191" s="50" t="n">
        <x:v>179</x:v>
      </x:c>
      <x:c r="B191" s="50" t="str">
        <x:v>正常系</x:v>
      </x:c>
      <x:c r="C191" s="50" t="str">
        <x:v>配送側配送一覧</x:v>
      </x:c>
      <x:c r="D191" s="50" t="str">
        <x:v>担当分のみ表示</x:v>
      </x:c>
      <x:c r="E191" s="52" t="str">
        <x:v>複数配送担当者の配送データが登録済み</x:v>
      </x:c>
      <x:c r="F191" s="52" t="str">
        <x:v>配送一覧を表示する</x:v>
      </x:c>
      <x:c r="G191" s="52" t="str">
        <x:v>ログイン中の配送担当者に紐づく配送情報のみ表示される</x:v>
      </x:c>
      <x:c r="H191" s="50"/>
      <x:c r="I191" s="50" t="str">
        <x:v>康</x:v>
      </x:c>
      <x:c r="J191" s="50"/>
      <x:c r="K191" s="52"/>
      <x:c r="L191"/>
      <x:c r="M191"/>
      <x:c r="N191"/>
    </x:row>
    <x:row r="192">
      <x:c r="A192" s="50" t="n">
        <x:v>180</x:v>
      </x:c>
      <x:c r="B192" s="50" t="str">
        <x:v>正常系</x:v>
      </x:c>
      <x:c r="C192" s="50" t="str">
        <x:v>配送側配送一覧</x:v>
      </x:c>
      <x:c r="D192" s="50" t="str">
        <x:v>並び順</x:v>
      </x:c>
      <x:c r="E192" s="52" t="str">
        <x:v>配送情報が複数件登録済み</x:v>
      </x:c>
      <x:c r="F192" s="52" t="str">
        <x:v>配送一覧画面を表示する</x:v>
      </x:c>
      <x:c r="G192" s="52" t="str">
        <x:v>配送番号または登録日時順など、仕様通りの順番で表示される</x:v>
      </x:c>
      <x:c r="H192" s="50"/>
      <x:c r="I192" s="50" t="str">
        <x:v>康</x:v>
      </x:c>
      <x:c r="J192" s="50"/>
      <x:c r="K192" s="52"/>
      <x:c r="L192"/>
      <x:c r="M192"/>
      <x:c r="N192"/>
    </x:row>
    <x:row r="193">
      <x:c r="A193" s="50" t="n">
        <x:v>181</x:v>
      </x:c>
      <x:c r="B193" s="50" t="str">
        <x:v>正常系</x:v>
      </x:c>
      <x:c r="C193" s="50" t="str">
        <x:v>配送側配送一覧</x:v>
      </x:c>
      <x:c r="D193" s="50" t="str">
        <x:v>ページング初期</x:v>
      </x:c>
      <x:c r="E193" s="52" t="str">
        <x:v>配送情報が1ページ表示件数を超えて登録済み</x:v>
      </x:c>
      <x:c r="F193" s="52" t="str">
        <x:v>配送一覧の1ページ目を表示する</x:v>
      </x:c>
      <x:c r="G193" s="52" t="str">
        <x:v>1ページ目の件数が仕様通り表示され、次へボタンが表示される</x:v>
      </x:c>
      <x:c r="H193" s="50"/>
      <x:c r="I193" s="50" t="str">
        <x:v>康</x:v>
      </x:c>
      <x:c r="J193" s="50"/>
      <x:c r="K193" s="52"/>
      <x:c r="L193"/>
      <x:c r="M193"/>
      <x:c r="N193"/>
    </x:row>
    <x:row r="194">
      <x:c r="A194" s="50" t="n">
        <x:v>182</x:v>
      </x:c>
      <x:c r="B194" s="50" t="str">
        <x:v>正常系</x:v>
      </x:c>
      <x:c r="C194" s="50" t="str">
        <x:v>配送側配送一覧</x:v>
      </x:c>
      <x:c r="D194" s="50" t="str">
        <x:v>ページング次へ</x:v>
      </x:c>
      <x:c r="E194" s="52" t="str">
        <x:v>配送情報が1ページ表示件数を超えて登録済み</x:v>
      </x:c>
      <x:c r="F194" s="52" t="str">
        <x:v>次へボタンを押す</x:v>
      </x:c>
      <x:c r="G194" s="52" t="str">
        <x:v>2ページ目の配送情報が表示される</x:v>
      </x:c>
      <x:c r="H194" s="50"/>
      <x:c r="I194" s="50" t="str">
        <x:v>康</x:v>
      </x:c>
      <x:c r="J194" s="50"/>
      <x:c r="K194" s="52"/>
      <x:c r="L194"/>
      <x:c r="M194"/>
      <x:c r="N194"/>
    </x:row>
    <x:row r="195">
      <x:c r="A195" s="50" t="n">
        <x:v>183</x:v>
      </x:c>
      <x:c r="B195" s="50" t="str">
        <x:v>正常系</x:v>
      </x:c>
      <x:c r="C195" s="50" t="str">
        <x:v>配送側配送一覧</x:v>
      </x:c>
      <x:c r="D195" s="50" t="str">
        <x:v>重複表示なし</x:v>
      </x:c>
      <x:c r="E195" s="52" t="str">
        <x:v>配送情報が複数件登録済み</x:v>
      </x:c>
      <x:c r="F195" s="52" t="str">
        <x:v>配送一覧を確認する</x:v>
      </x:c>
      <x:c r="G195" s="52" t="str">
        <x:v>同じ配送番号のデータが重複して表示されない</x:v>
      </x:c>
      <x:c r="H195" s="50"/>
      <x:c r="I195" s="50" t="str">
        <x:v>康</x:v>
      </x:c>
      <x:c r="J195" s="50"/>
      <x:c r="K195" s="52"/>
      <x:c r="L195"/>
      <x:c r="M195"/>
      <x:c r="N195"/>
    </x:row>
    <x:row r="196">
      <x:c r="A196" s="50" t="n">
        <x:v>184</x:v>
      </x:c>
      <x:c r="B196" s="50" t="str">
        <x:v>正常系</x:v>
      </x:c>
      <x:c r="C196" s="50" t="str">
        <x:v>配送側検索画面</x:v>
      </x:c>
      <x:c r="D196" s="50" t="str">
        <x:v>配送番号検索</x:v>
      </x:c>
      <x:c r="E196" s="52" t="str">
        <x:v>検索対象の配送番号が登録済み</x:v>
      </x:c>
      <x:c r="F196" s="52" t="str">
        <x:v>配送番号を入力して検索ボタンを押す</x:v>
      </x:c>
      <x:c r="G196" s="52" t="str">
        <x:v>該当する配送情報が1件表示される</x:v>
      </x:c>
      <x:c r="H196" s="50"/>
      <x:c r="I196" s="50" t="str">
        <x:v>康</x:v>
      </x:c>
      <x:c r="J196" s="50"/>
      <x:c r="K196" s="52"/>
      <x:c r="L196"/>
      <x:c r="M196"/>
      <x:c r="N196"/>
    </x:row>
    <x:row r="197">
      <x:c r="A197" s="50" t="n">
        <x:v>185</x:v>
      </x:c>
      <x:c r="B197" s="50" t="str">
        <x:v>正常系</x:v>
      </x:c>
      <x:c r="C197" s="50" t="str">
        <x:v>配送側検索画面</x:v>
      </x:c>
      <x:c r="D197" s="50" t="str">
        <x:v>依頼主名検索</x:v>
      </x:c>
      <x:c r="E197" s="52" t="str">
        <x:v>依頼主名が登録済み</x:v>
      </x:c>
      <x:c r="F197" s="52" t="str">
        <x:v>依頼主名を入力して検索ボタンを押す</x:v>
      </x:c>
      <x:c r="G197" s="52" t="str">
        <x:v>依頼主名に一致する配送情報が表示される</x:v>
      </x:c>
      <x:c r="H197" s="50"/>
      <x:c r="I197" s="50" t="str">
        <x:v>康</x:v>
      </x:c>
      <x:c r="J197" s="50"/>
      <x:c r="K197" s="52"/>
      <x:c r="L197"/>
      <x:c r="M197"/>
      <x:c r="N197"/>
    </x:row>
    <x:row r="198">
      <x:c r="A198" s="50" t="n">
        <x:v>186</x:v>
      </x:c>
      <x:c r="B198" s="50" t="str">
        <x:v>正常系</x:v>
      </x:c>
      <x:c r="C198" s="50" t="str">
        <x:v>配送側検索画面</x:v>
      </x:c>
      <x:c r="D198" s="50" t="str">
        <x:v>お届け先名検索</x:v>
      </x:c>
      <x:c r="E198" s="52" t="str">
        <x:v>お届け先氏名が登録済み</x:v>
      </x:c>
      <x:c r="F198" s="52" t="str">
        <x:v>お届け先氏名を入力して検索ボタンを押す</x:v>
      </x:c>
      <x:c r="G198" s="52" t="str">
        <x:v>お届け先氏名に一致する配送情報が表示される</x:v>
      </x:c>
      <x:c r="H198" s="50"/>
      <x:c r="I198" s="50" t="str">
        <x:v>康</x:v>
      </x:c>
      <x:c r="J198" s="50"/>
      <x:c r="K198" s="52"/>
      <x:c r="L198"/>
      <x:c r="M198"/>
      <x:c r="N198"/>
    </x:row>
    <x:row r="199">
      <x:c r="A199" s="50" t="n">
        <x:v>187</x:v>
      </x:c>
      <x:c r="B199" s="50" t="str">
        <x:v>正常系</x:v>
      </x:c>
      <x:c r="C199" s="50" t="str">
        <x:v>配送側検索画面</x:v>
      </x:c>
      <x:c r="D199" s="50" t="str">
        <x:v>住所検索</x:v>
      </x:c>
      <x:c r="E199" s="52" t="str">
        <x:v>依頼主住所またはお届け先住所が登録済み</x:v>
      </x:c>
      <x:c r="F199" s="52" t="str">
        <x:v>住所の一部を入力して検索する</x:v>
      </x:c>
      <x:c r="G199" s="52" t="str">
        <x:v>住所に一致する配送情報が表示される</x:v>
      </x:c>
      <x:c r="H199" s="50"/>
      <x:c r="I199" s="50" t="str">
        <x:v>康</x:v>
      </x:c>
      <x:c r="J199" s="50"/>
      <x:c r="K199" s="52"/>
      <x:c r="L199"/>
      <x:c r="M199"/>
      <x:c r="N199"/>
    </x:row>
    <x:row r="200">
      <x:c r="A200" s="50" t="n">
        <x:v>188</x:v>
      </x:c>
      <x:c r="B200" s="50" t="str">
        <x:v>正常系</x:v>
      </x:c>
      <x:c r="C200" s="50" t="str">
        <x:v>配送側検索画面</x:v>
      </x:c>
      <x:c r="D200" s="50" t="str">
        <x:v>未配送絞り込み</x:v>
      </x:c>
      <x:c r="E200" s="52" t="str">
        <x:v>未配送の配送データが存在する</x:v>
      </x:c>
      <x:c r="F200" s="52" t="str">
        <x:v>配送状況を未配送で絞り込む</x:v>
      </x:c>
      <x:c r="G200" s="52" t="str">
        <x:v>未配送のデータのみ表示される</x:v>
      </x:c>
      <x:c r="H200" s="50"/>
      <x:c r="I200" s="50" t="str">
        <x:v>康</x:v>
      </x:c>
      <x:c r="J200" s="50"/>
      <x:c r="K200" s="52"/>
      <x:c r="L200"/>
      <x:c r="M200"/>
      <x:c r="N200"/>
    </x:row>
    <x:row r="201">
      <x:c r="A201" s="50" t="n">
        <x:v>189</x:v>
      </x:c>
      <x:c r="B201" s="50" t="str">
        <x:v>正常系</x:v>
      </x:c>
      <x:c r="C201" s="50" t="str">
        <x:v>配送側検索画面</x:v>
      </x:c>
      <x:c r="D201" s="50" t="str">
        <x:v>持ち帰り絞り込み</x:v>
      </x:c>
      <x:c r="E201" s="52" t="str">
        <x:v>持ち帰り状態の配送データが存在する</x:v>
      </x:c>
      <x:c r="F201" s="52" t="str">
        <x:v>配送状況を持ち帰りで絞り込む</x:v>
      </x:c>
      <x:c r="G201" s="52" t="str">
        <x:v>持ち帰り状態のデータのみ表示される</x:v>
      </x:c>
      <x:c r="H201" s="50"/>
      <x:c r="I201" s="50" t="str">
        <x:v>康</x:v>
      </x:c>
      <x:c r="J201" s="50"/>
      <x:c r="K201" s="52"/>
      <x:c r="L201"/>
      <x:c r="M201"/>
      <x:c r="N201"/>
    </x:row>
    <x:row r="202">
      <x:c r="A202" s="50" t="n">
        <x:v>190</x:v>
      </x:c>
      <x:c r="B202" s="50" t="str">
        <x:v>正常系</x:v>
      </x:c>
      <x:c r="C202" s="50" t="str">
        <x:v>配送側検索画面</x:v>
      </x:c>
      <x:c r="D202" s="50" t="str">
        <x:v>配送済み絞り込み</x:v>
      </x:c>
      <x:c r="E202" s="52" t="str">
        <x:v>配送済みの配送データが存在する</x:v>
      </x:c>
      <x:c r="F202" s="52" t="str">
        <x:v>配送状況を配送済みで絞り込む</x:v>
      </x:c>
      <x:c r="G202" s="52" t="str">
        <x:v>配送済みのデータのみ表示される</x:v>
      </x:c>
      <x:c r="H202" s="50"/>
      <x:c r="I202" s="50" t="str">
        <x:v>康</x:v>
      </x:c>
      <x:c r="J202" s="50"/>
      <x:c r="K202" s="52"/>
      <x:c r="L202"/>
      <x:c r="M202"/>
      <x:c r="N202"/>
    </x:row>
    <x:row r="203">
      <x:c r="A203" s="50" t="n">
        <x:v>191</x:v>
      </x:c>
      <x:c r="B203" s="50" t="str">
        <x:v>正常系</x:v>
      </x:c>
      <x:c r="C203" s="50" t="str">
        <x:v>配送側検索画面</x:v>
      </x:c>
      <x:c r="D203" s="50" t="str">
        <x:v>空欄検索</x:v>
      </x:c>
      <x:c r="E203" s="52" t="str">
        <x:v>配送情報が複数件登録済み</x:v>
      </x:c>
      <x:c r="F203" s="52" t="str">
        <x:v>検索条件を空欄にして検索ボタンを押す</x:v>
      </x:c>
      <x:c r="G203" s="52" t="str">
        <x:v>仕様通り、全件表示または入力エラー表示になる</x:v>
      </x:c>
      <x:c r="H203" s="50"/>
      <x:c r="I203" s="50" t="str">
        <x:v>康</x:v>
      </x:c>
      <x:c r="J203" s="50"/>
      <x:c r="K203" s="52"/>
      <x:c r="L203"/>
      <x:c r="M203"/>
      <x:c r="N203"/>
    </x:row>
    <x:row r="204">
      <x:c r="A204" s="50" t="n">
        <x:v>192</x:v>
      </x:c>
      <x:c r="B204" s="50" t="str">
        <x:v>異常系</x:v>
      </x:c>
      <x:c r="C204" s="50" t="str">
        <x:v>配送側検索画面</x:v>
      </x:c>
      <x:c r="D204" s="50" t="str">
        <x:v>不正文字</x:v>
      </x:c>
      <x:c r="E204" s="52" t="str">
        <x:v>配送情報検索画面を表示している</x:v>
      </x:c>
      <x:c r="F204" s="52" t="str">
        <x:v>検索欄に記号のみを入力して検索する</x:v>
      </x:c>
      <x:c r="G204" s="52" t="str">
        <x:v>画面が崩れず、該当なしまたは入力エラーが表示される</x:v>
      </x:c>
      <x:c r="H204" s="50"/>
      <x:c r="I204" s="50" t="str">
        <x:v>康</x:v>
      </x:c>
      <x:c r="J204" s="50"/>
      <x:c r="K204" s="52"/>
      <x:c r="L204"/>
      <x:c r="M204"/>
      <x:c r="N204"/>
    </x:row>
    <x:row r="205">
      <x:c r="A205" s="50" t="n">
        <x:v>193</x:v>
      </x:c>
      <x:c r="B205" s="50" t="str">
        <x:v>境界値</x:v>
      </x:c>
      <x:c r="C205" s="50" t="str">
        <x:v>配送側検索画面</x:v>
      </x:c>
      <x:c r="D205" s="50" t="str">
        <x:v>全角半角</x:v>
      </x:c>
      <x:c r="E205" s="52" t="str">
        <x:v>配送番号が登録済み</x:v>
      </x:c>
      <x:c r="F205" s="52" t="str">
        <x:v>配送番号を全角数字で入力して検索する</x:v>
      </x:c>
      <x:c r="G205" s="52" t="str">
        <x:v>全角を許可する仕様なら検索成功、許可しない仕様なら入力エラーになる</x:v>
      </x:c>
      <x:c r="H205" s="50"/>
      <x:c r="I205" s="50" t="str">
        <x:v>康</x:v>
      </x:c>
      <x:c r="J205" s="50"/>
      <x:c r="K205" s="52"/>
      <x:c r="L205"/>
      <x:c r="M205"/>
      <x:c r="N205"/>
    </x:row>
    <x:row r="206">
      <x:c r="A206" s="50" t="n">
        <x:v>194</x:v>
      </x:c>
      <x:c r="B206" s="50" t="str">
        <x:v>境界値</x:v>
      </x:c>
      <x:c r="C206" s="50" t="str">
        <x:v>配送側検索画面</x:v>
      </x:c>
      <x:c r="D206" s="50" t="str">
        <x:v>前後空白</x:v>
      </x:c>
      <x:c r="E206" s="52" t="str">
        <x:v>配送番号が登録済み</x:v>
      </x:c>
      <x:c r="F206" s="52" t="str">
        <x:v>配送番号の前後に空白を入れて検索する</x:v>
      </x:c>
      <x:c r="G206" s="52" t="str">
        <x:v>trim仕様通りに検索成功または入力エラーになる</x:v>
      </x:c>
      <x:c r="H206" s="50"/>
      <x:c r="I206" s="50" t="str">
        <x:v>康</x:v>
      </x:c>
      <x:c r="J206" s="50"/>
      <x:c r="K206" s="52"/>
      <x:c r="L206"/>
      <x:c r="M206"/>
      <x:c r="N206"/>
    </x:row>
    <x:row r="207">
      <x:c r="A207" s="50" t="n">
        <x:v>195</x:v>
      </x:c>
      <x:c r="B207" s="50" t="str">
        <x:v>境界値</x:v>
      </x:c>
      <x:c r="C207" s="50" t="str">
        <x:v>配送側検索画面</x:v>
      </x:c>
      <x:c r="D207" s="50" t="str">
        <x:v>最大文字数超過</x:v>
      </x:c>
      <x:c r="E207" s="52" t="str">
        <x:v>配送情報検索画面を表示している</x:v>
      </x:c>
      <x:c r="F207" s="52" t="str">
        <x:v>検索欄に上限を超える文字数を入力して検索する</x:v>
      </x:c>
      <x:c r="G207" s="52" t="str">
        <x:v>文字数制限エラーが表示される、または上限以上入力できない</x:v>
      </x:c>
      <x:c r="H207" s="50"/>
      <x:c r="I207" s="50" t="str">
        <x:v>康</x:v>
      </x:c>
      <x:c r="J207" s="50"/>
      <x:c r="K207" s="52"/>
      <x:c r="L207"/>
      <x:c r="M207"/>
      <x:c r="N207"/>
    </x:row>
    <x:row r="208">
      <x:c r="A208" s="50" t="n">
        <x:v>196</x:v>
      </x:c>
      <x:c r="B208" s="50" t="str">
        <x:v>異常系</x:v>
      </x:c>
      <x:c r="C208" s="50" t="str">
        <x:v>配送側検索画面</x:v>
      </x:c>
      <x:c r="D208" s="50" t="str">
        <x:v>存在しない番号</x:v>
      </x:c>
      <x:c r="E208" s="52" t="str">
        <x:v>存在しない配送番号を用意する</x:v>
      </x:c>
      <x:c r="F208" s="52" t="str">
        <x:v>存在しない配送番号で検索する</x:v>
      </x:c>
      <x:c r="G208" s="52" t="str">
        <x:v>該当データなしのメッセージが表示される</x:v>
      </x:c>
      <x:c r="H208" s="50"/>
      <x:c r="I208" s="50" t="str">
        <x:v>康</x:v>
      </x:c>
      <x:c r="J208" s="50"/>
      <x:c r="K208" s="52"/>
      <x:c r="L208"/>
      <x:c r="M208"/>
      <x:c r="N208"/>
    </x:row>
    <x:row r="209">
      <x:c r="A209" s="50" t="n">
        <x:v>197</x:v>
      </x:c>
      <x:c r="B209" s="50" t="str">
        <x:v>正常系</x:v>
      </x:c>
      <x:c r="C209" s="50" t="str">
        <x:v>配送側状況詳細</x:v>
      </x:c>
      <x:c r="D209" s="50" t="str">
        <x:v>担当データ直接表示</x:v>
      </x:c>
      <x:c r="E209" s="52" t="str">
        <x:v>ログイン中の配送担当者に紐づく配送番号が存在する</x:v>
      </x:c>
      <x:c r="F209" s="52" t="str">
        <x:v>該当配送番号の詳細URLを直接入力する</x:v>
      </x:c>
      <x:c r="G209" s="52" t="str">
        <x:v>配送状況詳細画面が表示される</x:v>
      </x:c>
      <x:c r="H209" s="50"/>
      <x:c r="I209" s="50" t="str">
        <x:v>康</x:v>
      </x:c>
      <x:c r="J209" s="50"/>
      <x:c r="K209" s="52"/>
      <x:c r="L209"/>
      <x:c r="M209"/>
      <x:c r="N209"/>
    </x:row>
    <x:row r="210">
      <x:c r="A210" s="50" t="n">
        <x:v>198</x:v>
      </x:c>
      <x:c r="B210" s="50" t="str">
        <x:v>異常系</x:v>
      </x:c>
      <x:c r="C210" s="50" t="str">
        <x:v>配送側状況詳細</x:v>
      </x:c>
      <x:c r="D210" s="50" t="str">
        <x:v>他担当データ直接表示</x:v>
      </x:c>
      <x:c r="E210" s="52" t="str">
        <x:v>別の配送担当者に紐づく配送番号が存在する</x:v>
      </x:c>
      <x:c r="F210" s="52" t="str">
        <x:v>他担当の配送詳細URLを直接入力する</x:v>
      </x:c>
      <x:c r="G210" s="52" t="str">
        <x:v>権限エラー、または検索画面へリダイレクトされる</x:v>
      </x:c>
      <x:c r="H210" s="50"/>
      <x:c r="I210" s="50" t="str">
        <x:v>康</x:v>
      </x:c>
      <x:c r="J210" s="50"/>
      <x:c r="K210" s="52"/>
      <x:c r="L210"/>
      <x:c r="M210"/>
      <x:c r="N210"/>
    </x:row>
    <x:row r="211">
      <x:c r="A211" s="50" t="n">
        <x:v>199</x:v>
      </x:c>
      <x:c r="B211" s="50" t="str">
        <x:v>正常系</x:v>
      </x:c>
      <x:c r="C211" s="50" t="str">
        <x:v>配送側状況詳細</x:v>
      </x:c>
      <x:c r="D211" s="50" t="str">
        <x:v>依頼主情報表示</x:v>
      </x:c>
      <x:c r="E211" s="52" t="str">
        <x:v>配送依頼データが登録済み</x:v>
      </x:c>
      <x:c r="F211" s="52" t="str">
        <x:v>配送状況詳細画面を表示する</x:v>
      </x:c>
      <x:c r="G211" s="52" t="str">
        <x:v>依頼主氏名、依頼主住所が正しく表示される</x:v>
      </x:c>
      <x:c r="H211" s="50"/>
      <x:c r="I211" s="50" t="str">
        <x:v>康</x:v>
      </x:c>
      <x:c r="J211" s="50"/>
      <x:c r="K211" s="52"/>
      <x:c r="L211"/>
      <x:c r="M211"/>
      <x:c r="N211"/>
    </x:row>
    <x:row r="212">
      <x:c r="A212" s="50" t="n">
        <x:v>200</x:v>
      </x:c>
      <x:c r="B212" s="50" t="str">
        <x:v>正常系</x:v>
      </x:c>
      <x:c r="C212" s="50" t="str">
        <x:v>配送側状況詳細</x:v>
      </x:c>
      <x:c r="D212" s="50" t="str">
        <x:v>お届け先情報表示</x:v>
      </x:c>
      <x:c r="E212" s="52" t="str">
        <x:v>配送依頼データが登録済み</x:v>
      </x:c>
      <x:c r="F212" s="52" t="str">
        <x:v>配送状況詳細画面を表示する</x:v>
      </x:c>
      <x:c r="G212" s="52" t="str">
        <x:v>お届け先氏名、お届け先住所が正しく表示される</x:v>
      </x:c>
      <x:c r="H212" s="50"/>
      <x:c r="I212" s="50" t="str">
        <x:v>康</x:v>
      </x:c>
      <x:c r="J212" s="50"/>
      <x:c r="K212" s="52"/>
      <x:c r="L212"/>
      <x:c r="M212"/>
      <x:c r="N212"/>
    </x:row>
    <x:row r="213">
      <x:c r="A213" s="50" t="n">
        <x:v>201</x:v>
      </x:c>
      <x:c r="B213" s="50" t="str">
        <x:v>正常系</x:v>
      </x:c>
      <x:c r="C213" s="50" t="str">
        <x:v>配送側状況詳細</x:v>
      </x:c>
      <x:c r="D213" s="50" t="str">
        <x:v>住所改行表示</x:v>
      </x:c>
      <x:c r="E213" s="52" t="str">
        <x:v>住所に番地・建物名を含む配送データが登録済み</x:v>
      </x:c>
      <x:c r="F213" s="52" t="str">
        <x:v>配送状況詳細画面を表示する</x:v>
      </x:c>
      <x:c r="G213" s="52" t="str">
        <x:v>住所が欠けず、読みやすい形式で表示される</x:v>
      </x:c>
      <x:c r="H213" s="50"/>
      <x:c r="I213" s="50" t="str">
        <x:v>康</x:v>
      </x:c>
      <x:c r="J213" s="50"/>
      <x:c r="K213" s="52"/>
      <x:c r="L213"/>
      <x:c r="M213"/>
      <x:c r="N213"/>
    </x:row>
    <x:row r="214">
      <x:c r="A214" s="50" t="n">
        <x:v>202</x:v>
      </x:c>
      <x:c r="B214" s="50" t="str">
        <x:v>正常系</x:v>
      </x:c>
      <x:c r="C214" s="50" t="str">
        <x:v>配送側状況詳細</x:v>
      </x:c>
      <x:c r="D214" s="50" t="str">
        <x:v>配送番号表示</x:v>
      </x:c>
      <x:c r="E214" s="52" t="str">
        <x:v>配送依頼データが登録済み</x:v>
      </x:c>
      <x:c r="F214" s="52" t="str">
        <x:v>配送状況詳細画面を表示する</x:v>
      </x:c>
      <x:c r="G214" s="52" t="str">
        <x:v>配送番号が検索結果と同じ値で表示される</x:v>
      </x:c>
      <x:c r="H214" s="50"/>
      <x:c r="I214" s="50" t="str">
        <x:v>康</x:v>
      </x:c>
      <x:c r="J214" s="50"/>
      <x:c r="K214" s="52"/>
      <x:c r="L214"/>
      <x:c r="M214"/>
      <x:c r="N214"/>
    </x:row>
    <x:row r="215">
      <x:c r="A215" s="50" t="n">
        <x:v>203</x:v>
      </x:c>
      <x:c r="B215" s="50" t="str">
        <x:v>正常系</x:v>
      </x:c>
      <x:c r="C215" s="50" t="str">
        <x:v>配送側状況詳細</x:v>
      </x:c>
      <x:c r="D215" s="50" t="str">
        <x:v>現在状態表示</x:v>
      </x:c>
      <x:c r="E215" s="52" t="str">
        <x:v>配送状況が登録済み</x:v>
      </x:c>
      <x:c r="F215" s="52" t="str">
        <x:v>配送状況詳細画面を表示する</x:v>
      </x:c>
      <x:c r="G215" s="52" t="str">
        <x:v>現在の配送状況が正しく表示される</x:v>
      </x:c>
      <x:c r="H215" s="50"/>
      <x:c r="I215" s="50" t="str">
        <x:v>康</x:v>
      </x:c>
      <x:c r="J215" s="50"/>
      <x:c r="K215" s="52"/>
      <x:c r="L215"/>
      <x:c r="M215"/>
      <x:c r="N215"/>
    </x:row>
    <x:row r="216">
      <x:c r="A216" s="50" t="n">
        <x:v>204</x:v>
      </x:c>
      <x:c r="B216" s="50" t="str">
        <x:v>正常系</x:v>
      </x:c>
      <x:c r="C216" s="50" t="str">
        <x:v>配送側状況詳細</x:v>
      </x:c>
      <x:c r="D216" s="50" t="str">
        <x:v>操作ボタン表示</x:v>
      </x:c>
      <x:c r="E216" s="52" t="str">
        <x:v>未配送または配送中の担当データを表示する</x:v>
      </x:c>
      <x:c r="F216" s="52" t="str">
        <x:v>配送状況詳細画面を確認する</x:v>
      </x:c>
      <x:c r="G216" s="52" t="str">
        <x:v>持ち帰りボタン、配送済みボタン、戻るボタンが表示される</x:v>
      </x:c>
      <x:c r="H216" s="50"/>
      <x:c r="I216" s="50" t="str">
        <x:v>康</x:v>
      </x:c>
      <x:c r="J216" s="50"/>
      <x:c r="K216" s="52"/>
      <x:c r="L216"/>
      <x:c r="M216"/>
      <x:c r="N216"/>
    </x:row>
    <x:row r="217">
      <x:c r="A217" s="50" t="n">
        <x:v>205</x:v>
      </x:c>
      <x:c r="B217" s="50" t="str">
        <x:v>正常系</x:v>
      </x:c>
      <x:c r="C217" s="50" t="str">
        <x:v>配送側状況詳細</x:v>
      </x:c>
      <x:c r="D217" s="50" t="str">
        <x:v>配送済み後ボタン制御</x:v>
      </x:c>
      <x:c r="E217" s="52" t="str">
        <x:v>配送済みのデータを表示する</x:v>
      </x:c>
      <x:c r="F217" s="52" t="str">
        <x:v>配送状況詳細画面を確認する</x:v>
      </x:c>
      <x:c r="G217" s="52" t="str">
        <x:v>持ち帰り・配送済みなどの更新ボタンが表示されない、または押下不可になる</x:v>
      </x:c>
      <x:c r="H217" s="50"/>
      <x:c r="I217" s="50" t="str">
        <x:v>康</x:v>
      </x:c>
      <x:c r="J217" s="50"/>
      <x:c r="K217" s="52"/>
      <x:c r="L217"/>
      <x:c r="M217"/>
      <x:c r="N217"/>
    </x:row>
    <x:row r="218">
      <x:c r="A218" s="50" t="n">
        <x:v>206</x:v>
      </x:c>
      <x:c r="B218" s="50" t="str">
        <x:v>正常系</x:v>
      </x:c>
      <x:c r="C218" s="50" t="str">
        <x:v>配送側状況詳細</x:v>
      </x:c>
      <x:c r="D218" s="50" t="str">
        <x:v>持ち帰り後ボタン制御</x:v>
      </x:c>
      <x:c r="E218" s="52" t="str">
        <x:v>持ち帰り状態のデータを表示する</x:v>
      </x:c>
      <x:c r="F218" s="52" t="str">
        <x:v>配送状況詳細画面を確認する</x:v>
      </x:c>
      <x:c r="G218" s="52" t="str">
        <x:v>仕様通り、再配送や配送済みへの操作可否が制御される</x:v>
      </x:c>
      <x:c r="H218" s="50"/>
      <x:c r="I218" s="50" t="str">
        <x:v>康</x:v>
      </x:c>
      <x:c r="J218" s="50"/>
      <x:c r="K218" s="52"/>
      <x:c r="L218"/>
      <x:c r="M218"/>
      <x:c r="N218"/>
    </x:row>
    <x:row r="219">
      <x:c r="A219" s="50" t="n">
        <x:v>207</x:v>
      </x:c>
      <x:c r="B219" s="50" t="str">
        <x:v>正常系</x:v>
      </x:c>
      <x:c r="C219" s="50" t="str">
        <x:v>配送側状況詳細</x:v>
      </x:c>
      <x:c r="D219" s="50" t="str">
        <x:v>戻る</x:v>
      </x:c>
      <x:c r="E219" s="52" t="str">
        <x:v>配送状況詳細画面を表示している</x:v>
      </x:c>
      <x:c r="F219" s="52" t="str">
        <x:v>戻るボタンを押す</x:v>
      </x:c>
      <x:c r="G219" s="52" t="str">
        <x:v>直前の配送情報検索画面または配送一覧画面へ戻る</x:v>
      </x:c>
      <x:c r="H219" s="50"/>
      <x:c r="I219" s="50" t="str">
        <x:v>康</x:v>
      </x:c>
      <x:c r="J219" s="50"/>
      <x:c r="K219" s="52"/>
      <x:c r="L219"/>
      <x:c r="M219"/>
      <x:c r="N219"/>
    </x:row>
    <x:row r="220">
      <x:c r="A220" s="50" t="n">
        <x:v>208</x:v>
      </x:c>
      <x:c r="B220" s="50" t="str">
        <x:v>正常系</x:v>
      </x:c>
      <x:c r="C220" s="50" t="str">
        <x:v>配送側ステータス更新</x:v>
      </x:c>
      <x:c r="D220" s="50" t="str">
        <x:v>配送中更新</x:v>
      </x:c>
      <x:c r="E220" s="52" t="str">
        <x:v>未配送の担当配送データが存在する</x:v>
      </x:c>
      <x:c r="F220" s="52" t="str">
        <x:v>配送中ボタンまたは配送開始操作を行う</x:v>
      </x:c>
      <x:c r="G220" s="52" t="str">
        <x:v>配送状況が配送中に更新される</x:v>
      </x:c>
      <x:c r="H220" s="50"/>
      <x:c r="I220" s="50" t="str">
        <x:v>康</x:v>
      </x:c>
      <x:c r="J220" s="50"/>
      <x:c r="K220" s="52"/>
      <x:c r="L220"/>
      <x:c r="M220"/>
      <x:c r="N220"/>
    </x:row>
    <x:row r="221">
      <x:c r="A221" s="50" t="n">
        <x:v>209</x:v>
      </x:c>
      <x:c r="B221" s="50" t="str">
        <x:v>正常系</x:v>
      </x:c>
      <x:c r="C221" s="50" t="str">
        <x:v>配送側ステータス更新</x:v>
      </x:c>
      <x:c r="D221" s="50" t="str">
        <x:v>持ち帰り更新</x:v>
      </x:c>
      <x:c r="E221" s="52" t="str">
        <x:v>担当配送データが配送中または未配送である</x:v>
      </x:c>
      <x:c r="F221" s="52" t="str">
        <x:v>持ち帰りボタンを押す</x:v>
      </x:c>
      <x:c r="G221" s="52" t="str">
        <x:v>配送状況が持ち帰りに更新され、画面にも反映される</x:v>
      </x:c>
      <x:c r="H221" s="50"/>
      <x:c r="I221" s="50" t="str">
        <x:v>康</x:v>
      </x:c>
      <x:c r="J221" s="50"/>
      <x:c r="K221" s="52"/>
      <x:c r="L221"/>
      <x:c r="M221"/>
      <x:c r="N221"/>
    </x:row>
    <x:row r="222">
      <x:c r="A222" s="50" t="n">
        <x:v>210</x:v>
      </x:c>
      <x:c r="B222" s="50" t="str">
        <x:v>正常系</x:v>
      </x:c>
      <x:c r="C222" s="50" t="str">
        <x:v>配送側ステータス更新</x:v>
      </x:c>
      <x:c r="D222" s="50" t="str">
        <x:v>配送済み更新</x:v>
      </x:c>
      <x:c r="E222" s="52" t="str">
        <x:v>担当配送データが配送中または未配送である</x:v>
      </x:c>
      <x:c r="F222" s="52" t="str">
        <x:v>配送済みボタンを押す</x:v>
      </x:c>
      <x:c r="G222" s="52" t="str">
        <x:v>配送状況が配送済みに更新され、完了日時などが仕様通り反映される</x:v>
      </x:c>
      <x:c r="H222" s="50"/>
      <x:c r="I222" s="50" t="str">
        <x:v>康</x:v>
      </x:c>
      <x:c r="J222" s="50"/>
      <x:c r="K222" s="52"/>
      <x:c r="L222"/>
      <x:c r="M222"/>
      <x:c r="N222"/>
    </x:row>
    <x:row r="223">
      <x:c r="A223" s="50" t="n">
        <x:v>211</x:v>
      </x:c>
      <x:c r="B223" s="50" t="str">
        <x:v>異常系</x:v>
      </x:c>
      <x:c r="C223" s="50" t="str">
        <x:v>配送側ステータス更新</x:v>
      </x:c>
      <x:c r="D223" s="50" t="str">
        <x:v>二重押下</x:v>
      </x:c>
      <x:c r="E223" s="52" t="str">
        <x:v>担当配送データの詳細画面を表示している</x:v>
      </x:c>
      <x:c r="F223" s="52" t="str">
        <x:v>配送済みボタンを連続で2回押す</x:v>
      </x:c>
      <x:c r="G223" s="52" t="str">
        <x:v>二重更新されず、DBの状態が1回分だけ更新される</x:v>
      </x:c>
      <x:c r="H223" s="50"/>
      <x:c r="I223" s="50" t="str">
        <x:v>康</x:v>
      </x:c>
      <x:c r="J223" s="50"/>
      <x:c r="K223" s="52"/>
      <x:c r="L223"/>
      <x:c r="M223"/>
      <x:c r="N223"/>
    </x:row>
    <x:row r="224">
      <x:c r="A224" s="50" t="n">
        <x:v>212</x:v>
      </x:c>
      <x:c r="B224" s="50" t="str">
        <x:v>異常系</x:v>
      </x:c>
      <x:c r="C224" s="50" t="str">
        <x:v>配送側ステータス更新</x:v>
      </x:c>
      <x:c r="D224" s="50" t="str">
        <x:v>GET不正更新</x:v>
      </x:c>
      <x:c r="E224" s="52" t="str">
        <x:v>担当配送データが存在する</x:v>
      </x:c>
      <x:c r="F224" s="52" t="str">
        <x:v>ステータス更新用URLをGETで直接入力する</x:v>
      </x:c>
      <x:c r="G224" s="52" t="str">
        <x:v>ステータスが更新されず、エラーまたは検索画面へ遷移する</x:v>
      </x:c>
      <x:c r="H224" s="50"/>
      <x:c r="I224" s="50" t="str">
        <x:v>康</x:v>
      </x:c>
      <x:c r="J224" s="50"/>
      <x:c r="K224" s="52"/>
      <x:c r="L224"/>
      <x:c r="M224"/>
      <x:c r="N224"/>
    </x:row>
    <x:row r="225">
      <x:c r="A225" s="50" t="n">
        <x:v>213</x:v>
      </x:c>
      <x:c r="B225" s="50" t="str">
        <x:v>異常系</x:v>
      </x:c>
      <x:c r="C225" s="50" t="str">
        <x:v>配送側ステータス更新</x:v>
      </x:c>
      <x:c r="D225" s="50" t="str">
        <x:v>不正value</x:v>
      </x:c>
      <x:c r="E225" s="52" t="str">
        <x:v>担当配送データが存在する</x:v>
      </x:c>
      <x:c r="F225" s="52" t="str">
        <x:v>開発者ツール等でステータス値を不正値に変更して送信する</x:v>
      </x:c>
      <x:c r="G225" s="52" t="str">
        <x:v>不正な配送状況に更新されず、入力エラーになる</x:v>
      </x:c>
      <x:c r="H225" s="50"/>
      <x:c r="I225" s="50" t="str">
        <x:v>康</x:v>
      </x:c>
      <x:c r="J225" s="50"/>
      <x:c r="K225" s="52"/>
      <x:c r="L225"/>
      <x:c r="M225"/>
      <x:c r="N225"/>
    </x:row>
    <x:row r="226">
      <x:c r="A226" s="50" t="n">
        <x:v>214</x:v>
      </x:c>
      <x:c r="B226" s="50" t="str">
        <x:v>正常系</x:v>
      </x:c>
      <x:c r="C226" s="50" t="str">
        <x:v>配送側DB確認</x:v>
      </x:c>
      <x:c r="D226" s="50" t="str">
        <x:v>ステータス更新確認</x:v>
      </x:c>
      <x:c r="E226" s="52" t="str">
        <x:v>配送状況を配送済みに更新済み</x:v>
      </x:c>
      <x:c r="F226" s="52" t="str">
        <x:v>SELECTで対象配送番号の配送状況を確認する</x:v>
      </x:c>
      <x:c r="G226" s="52" t="str">
        <x:v>DB上の配送状況が配送済みになっている</x:v>
      </x:c>
      <x:c r="H226" s="50"/>
      <x:c r="I226" s="50" t="str">
        <x:v>康</x:v>
      </x:c>
      <x:c r="J226" s="50"/>
      <x:c r="K226" s="52"/>
      <x:c r="L226"/>
      <x:c r="M226"/>
      <x:c r="N226"/>
    </x:row>
    <x:row r="227">
      <x:c r="A227" s="50" t="n">
        <x:v>215</x:v>
      </x:c>
      <x:c r="B227" s="50" t="str">
        <x:v>正常系</x:v>
      </x:c>
      <x:c r="C227" s="50" t="str">
        <x:v>配送側DB確認</x:v>
      </x:c>
      <x:c r="D227" s="50" t="str">
        <x:v>担当者ID保持</x:v>
      </x:c>
      <x:c r="E227" s="52" t="str">
        <x:v>配送状況を更新済み</x:v>
      </x:c>
      <x:c r="F227" s="52" t="str">
        <x:v>SELECTで対象配送番号の担当者IDを確認する</x:v>
      </x:c>
      <x:c r="G227" s="52" t="str">
        <x:v>担当者IDがログイン中の配送担当者IDと一致している</x:v>
      </x:c>
      <x:c r="H227" s="50"/>
      <x:c r="I227" s="50" t="str">
        <x:v>康</x:v>
      </x:c>
      <x:c r="J227" s="50"/>
      <x:c r="K227" s="52"/>
      <x:c r="L227"/>
      <x:c r="M227"/>
      <x:c r="N227"/>
    </x:row>
    <x:row r="228">
      <x:c r="A228" s="50" t="n">
        <x:v>216</x:v>
      </x:c>
      <x:c r="B228" s="50" t="str">
        <x:v>正常系</x:v>
      </x:c>
      <x:c r="C228" s="50" t="str">
        <x:v>配送側DB確認</x:v>
      </x:c>
      <x:c r="D228" s="50" t="str">
        <x:v>更新日時</x:v>
      </x:c>
      <x:c r="E228" s="52" t="str">
        <x:v>配送状況を更新済み</x:v>
      </x:c>
      <x:c r="F228" s="52" t="str">
        <x:v>SELECTで対象配送番号の更新日時を確認する</x:v>
      </x:c>
      <x:c r="G228" s="52" t="str">
        <x:v>更新日時がステータス更新時刻に更新されている</x:v>
      </x:c>
      <x:c r="H228" s="50"/>
      <x:c r="I228" s="50" t="str">
        <x:v>康</x:v>
      </x:c>
      <x:c r="J228" s="50"/>
      <x:c r="K228" s="52"/>
      <x:c r="L228"/>
      <x:c r="M228"/>
      <x:c r="N228"/>
    </x:row>
    <x:row r="229">
      <x:c r="A229" s="50" t="n">
        <x:v>217</x:v>
      </x:c>
      <x:c r="B229" s="50" t="str">
        <x:v>正常系</x:v>
      </x:c>
      <x:c r="C229" s="50" t="str">
        <x:v>配送側DB確認</x:v>
      </x:c>
      <x:c r="D229" s="50" t="str">
        <x:v>重複登録なし</x:v>
      </x:c>
      <x:c r="E229" s="52" t="str">
        <x:v>配送状況を更新済み</x:v>
      </x:c>
      <x:c r="F229" s="52" t="str">
        <x:v>SELECTで対象配送番号の件数を確認する</x:v>
      </x:c>
      <x:c r="G229" s="52" t="str">
        <x:v>更新処理によって同じ配送番号のレコードが重複登録されていない</x:v>
      </x:c>
      <x:c r="H229" s="50"/>
      <x:c r="I229" s="50" t="str">
        <x:v>康</x:v>
      </x:c>
      <x:c r="J229" s="50"/>
      <x:c r="K229" s="52"/>
      <x:c r="L229"/>
      <x:c r="M229"/>
      <x:c r="N229"/>
    </x:row>
    <x:row r="230">
      <x:c r="A230" s="50" t="n">
        <x:v>218</x:v>
      </x:c>
      <x:c r="B230" s="50" t="str">
        <x:v>異常系</x:v>
      </x:c>
      <x:c r="C230" s="50" t="str">
        <x:v>配送側DB確認</x:v>
      </x:c>
      <x:c r="D230" s="50" t="str">
        <x:v>更新失敗時ロールバック</x:v>
      </x:c>
      <x:c r="E230" s="52" t="str">
        <x:v>DB更新時にエラーとなる条件を用意する</x:v>
      </x:c>
      <x:c r="F230" s="52" t="str">
        <x:v>ステータス更新操作を行う</x:v>
      </x:c>
      <x:c r="G230" s="52" t="str">
        <x:v>途中までの更新がDBに残らず、整合性が保たれる</x:v>
      </x:c>
      <x:c r="H230" s="50"/>
      <x:c r="I230" s="50" t="str">
        <x:v>康</x:v>
      </x:c>
      <x:c r="J230" s="50"/>
      <x:c r="K230" s="52"/>
      <x:c r="L230"/>
      <x:c r="M230"/>
      <x:c r="N230"/>
    </x:row>
    <x:row r="231">
      <x:c r="A231" s="50" t="n">
        <x:v>219</x:v>
      </x:c>
      <x:c r="B231" s="50" t="str">
        <x:v>異常系</x:v>
      </x:c>
      <x:c r="C231" s="50" t="str">
        <x:v>配送側DB確認</x:v>
      </x:c>
      <x:c r="D231" s="50" t="str">
        <x:v>同時更新</x:v>
      </x:c>
      <x:c r="E231" s="52" t="str">
        <x:v>同じ配送番号を2つの画面で開いている</x:v>
      </x:c>
      <x:c r="F231" s="52" t="str">
        <x:v>片方で配送済みにした後、もう片方で持ち帰り更新する</x:v>
      </x:c>
      <x:c r="G231" s="52" t="str">
        <x:v>後からの不正更新が防止される、または仕様通りの最終状態になる</x:v>
      </x:c>
      <x:c r="H231" s="50"/>
      <x:c r="I231" s="50" t="str">
        <x:v>康</x:v>
      </x:c>
      <x:c r="J231" s="50"/>
      <x:c r="K231" s="52"/>
      <x:c r="L231"/>
      <x:c r="M231"/>
      <x:c r="N231"/>
    </x:row>
    <x:row r="232">
      <x:c r="A232" s="50" t="n">
        <x:v>220</x:v>
      </x:c>
      <x:c r="B232" s="50" t="str">
        <x:v>異常系</x:v>
      </x:c>
      <x:c r="C232" s="50" t="str">
        <x:v>配送側DB確認</x:v>
      </x:c>
      <x:c r="D232" s="50" t="str">
        <x:v>他担当更新不可</x:v>
      </x:c>
      <x:c r="E232" s="52" t="str">
        <x:v>別担当者の配送データが存在する</x:v>
      </x:c>
      <x:c r="F232" s="52" t="str">
        <x:v>別担当者の配送番号を指定してステータス更新する</x:v>
      </x:c>
      <x:c r="G232" s="52" t="str">
        <x:v>DBが更新されず、権限エラーになる</x:v>
      </x:c>
      <x:c r="H232" s="50"/>
      <x:c r="I232" s="50" t="str">
        <x:v>康</x:v>
      </x:c>
      <x:c r="J232" s="50"/>
      <x:c r="K232" s="52"/>
      <x:c r="L232"/>
      <x:c r="M232"/>
      <x:c r="N232"/>
    </x:row>
    <x:row r="233">
      <x:c r="A233" s="50" t="n">
        <x:v>221</x:v>
      </x:c>
      <x:c r="B233" s="50" t="str">
        <x:v>異常系</x:v>
      </x:c>
      <x:c r="C233" s="50" t="str">
        <x:v>配送側ステータス更新</x:v>
      </x:c>
      <x:c r="D233" s="50" t="str">
        <x:v>配送済み再変更不可</x:v>
      </x:c>
      <x:c r="E233" s="52" t="str">
        <x:v>配送済みの配送データが存在する</x:v>
      </x:c>
      <x:c r="F233" s="52" t="str">
        <x:v>配送済みデータに対して持ち帰り更新を行う</x:v>
      </x:c>
      <x:c r="G233" s="52" t="str">
        <x:v>配送済み状態から別状態に変更できない</x:v>
      </x:c>
      <x:c r="H233" s="50"/>
      <x:c r="I233" s="50" t="str">
        <x:v>康</x:v>
      </x:c>
      <x:c r="J233" s="50"/>
      <x:c r="K233" s="52"/>
      <x:c r="L233"/>
      <x:c r="M233"/>
      <x:c r="N233"/>
    </x:row>
    <x:row r="234">
      <x:c r="A234" s="50" t="n">
        <x:v>222</x:v>
      </x:c>
      <x:c r="B234" s="50" t="str">
        <x:v>異常系</x:v>
      </x:c>
      <x:c r="C234" s="50" t="str">
        <x:v>配送側持ち帰り処理</x:v>
      </x:c>
      <x:c r="D234" s="50" t="str">
        <x:v>理由未入力</x:v>
      </x:c>
      <x:c r="E234" s="52" t="str">
        <x:v>持ち帰り理由入力欄がある画面を表示している</x:v>
      </x:c>
      <x:c r="F234" s="52" t="str">
        <x:v>理由を空欄にして持ち帰りボタンを押す</x:v>
      </x:c>
      <x:c r="G234" s="52" t="str">
        <x:v>理由必須仕様の場合は入力エラー、不要仕様の場合は正常更新される</x:v>
      </x:c>
      <x:c r="H234" s="50"/>
      <x:c r="I234" s="50" t="str">
        <x:v>康</x:v>
      </x:c>
      <x:c r="J234" s="50"/>
      <x:c r="K234" s="52"/>
      <x:c r="L234"/>
      <x:c r="M234"/>
      <x:c r="N234"/>
    </x:row>
    <x:row r="235">
      <x:c r="A235" s="50" t="n">
        <x:v>223</x:v>
      </x:c>
      <x:c r="B235" s="50" t="str">
        <x:v>境界値</x:v>
      </x:c>
      <x:c r="C235" s="50" t="str">
        <x:v>配送側持ち帰り処理</x:v>
      </x:c>
      <x:c r="D235" s="50" t="str">
        <x:v>理由最大文字数</x:v>
      </x:c>
      <x:c r="E235" s="52" t="str">
        <x:v>持ち帰り理由入力欄がある画面を表示している</x:v>
      </x:c>
      <x:c r="F235" s="52" t="str">
        <x:v>理由欄に最大文字数ちょうどの文字を入力して送信する</x:v>
      </x:c>
      <x:c r="G235" s="52" t="str">
        <x:v>正常に登録され、画面やDBで文字が欠けない</x:v>
      </x:c>
      <x:c r="H235" s="50"/>
      <x:c r="I235" s="50" t="str">
        <x:v>康</x:v>
      </x:c>
      <x:c r="J235" s="50"/>
      <x:c r="K235" s="52"/>
      <x:c r="L235"/>
      <x:c r="M235"/>
      <x:c r="N235"/>
    </x:row>
    <x:row r="236">
      <x:c r="A236" s="50" t="n">
        <x:v>224</x:v>
      </x:c>
      <x:c r="B236" s="50" t="str">
        <x:v>セキュリティ</x:v>
      </x:c>
      <x:c r="C236" s="50" t="str">
        <x:v>配送側持ち帰り処理</x:v>
      </x:c>
      <x:c r="D236" s="50" t="str">
        <x:v>理由XSS</x:v>
      </x:c>
      <x:c r="E236" s="52" t="str">
        <x:v>持ち帰り理由入力欄がある画面を表示している</x:v>
      </x:c>
      <x:c r="F236" s="52" t="str">
        <x:v>理由欄に「&lt;script&gt;alert(1)&lt;/script&gt;」を入力して送信する</x:v>
      </x:c>
      <x:c r="G236" s="52" t="str">
        <x:v>スクリプトが実行されず、エスケープ表示される</x:v>
      </x:c>
      <x:c r="H236" s="50"/>
      <x:c r="I236" s="50" t="str">
        <x:v>康</x:v>
      </x:c>
      <x:c r="J236" s="50"/>
      <x:c r="K236" s="52"/>
      <x:c r="L236"/>
      <x:c r="M236"/>
      <x:c r="N236"/>
    </x:row>
    <x:row r="237">
      <x:c r="A237" s="50" t="n">
        <x:v>225</x:v>
      </x:c>
      <x:c r="B237" s="50" t="str">
        <x:v>正常系</x:v>
      </x:c>
      <x:c r="C237" s="50" t="str">
        <x:v>配送側配送完了処理</x:v>
      </x:c>
      <x:c r="D237" s="50" t="str">
        <x:v>配送済み確認表示</x:v>
      </x:c>
      <x:c r="E237" s="52" t="str">
        <x:v>担当配送データが未配送または配送中である</x:v>
      </x:c>
      <x:c r="F237" s="52" t="str">
        <x:v>配送済みボタンを押す</x:v>
      </x:c>
      <x:c r="G237" s="52" t="str">
        <x:v>配送済みに変更されたことが画面上で確認できる</x:v>
      </x:c>
      <x:c r="H237" s="50"/>
      <x:c r="I237" s="50" t="str">
        <x:v>康</x:v>
      </x:c>
      <x:c r="J237" s="50"/>
      <x:c r="K237" s="52"/>
      <x:c r="L237"/>
      <x:c r="M237"/>
      <x:c r="N237"/>
    </x:row>
    <x:row r="238">
      <x:c r="A238" s="50" t="n">
        <x:v>226</x:v>
      </x:c>
      <x:c r="B238" s="50" t="str">
        <x:v>異常系</x:v>
      </x:c>
      <x:c r="C238" s="50" t="str">
        <x:v>配送側配送完了処理</x:v>
      </x:c>
      <x:c r="D238" s="50" t="str">
        <x:v>担当外ボタン非表示</x:v>
      </x:c>
      <x:c r="E238" s="52" t="str">
        <x:v>ログイン中の配送担当者ではない配送データを表示する</x:v>
      </x:c>
      <x:c r="F238" s="52" t="str">
        <x:v>画面上の操作ボタンを確認する</x:v>
      </x:c>
      <x:c r="G238" s="52" t="str">
        <x:v>配送済みボタンや持ち帰りボタンが表示されない</x:v>
      </x:c>
      <x:c r="H238" s="50"/>
      <x:c r="I238" s="50" t="str">
        <x:v>康</x:v>
      </x:c>
      <x:c r="J238" s="50"/>
      <x:c r="K238" s="52"/>
      <x:c r="L238"/>
      <x:c r="M238"/>
      <x:c r="N238"/>
    </x:row>
    <x:row r="239">
      <x:c r="A239" s="50" t="n">
        <x:v>227</x:v>
      </x:c>
      <x:c r="B239" s="50" t="str">
        <x:v>正常系</x:v>
      </x:c>
      <x:c r="C239" s="50" t="str">
        <x:v>配送側画面表示</x:v>
      </x:c>
      <x:c r="D239" s="50" t="str">
        <x:v>スマホ幅表示</x:v>
      </x:c>
      <x:c r="E239" s="52" t="str">
        <x:v>配送側画面をスマホ幅または狭い画面で表示する</x:v>
      </x:c>
      <x:c r="F239" s="52" t="str">
        <x:v>配送情報検索画面と詳細画面を確認する</x:v>
      </x:c>
      <x:c r="G239" s="52" t="str">
        <x:v>入力欄やボタンが重ならず、操作可能な状態で表示される</x:v>
      </x:c>
      <x:c r="H239" s="50"/>
      <x:c r="I239" s="50" t="str">
        <x:v>康</x:v>
      </x:c>
      <x:c r="J239" s="50"/>
      <x:c r="K239" s="52"/>
      <x:c r="L239"/>
      <x:c r="M239"/>
      <x:c r="N239"/>
    </x:row>
    <x:row r="240">
      <x:c r="A240" s="50" t="n">
        <x:v>228</x:v>
      </x:c>
      <x:c r="B240" s="50" t="str">
        <x:v>異常系</x:v>
      </x:c>
      <x:c r="C240" s="50" t="str">
        <x:v>配送側エラー制御</x:v>
      </x:c>
      <x:c r="D240" s="50" t="str">
        <x:v>404相当</x:v>
      </x:c>
      <x:c r="E240" s="52" t="str">
        <x:v>存在しない配送詳細URLを直接入力する</x:v>
      </x:c>
      <x:c r="F240" s="52" t="str">
        <x:v>配送詳細画面へアクセスする</x:v>
      </x:c>
      <x:c r="G240" s="52" t="str">
        <x:v>システムエラーではなく、エラー画面または検索画面へ遷移する</x:v>
      </x:c>
      <x:c r="H240" s="50"/>
      <x:c r="I240" s="50" t="str">
        <x:v>康</x:v>
      </x:c>
      <x:c r="J240" s="50"/>
      <x:c r="K240" s="52"/>
      <x:c r="L240"/>
      <x:c r="M240"/>
      <x:c r="N240"/>
    </x:row>
    <x:row r="241">
      <x:c r="A241" s="50" t="n">
        <x:v>229</x:v>
      </x:c>
      <x:c r="B241" s="50" t="str">
        <x:v>異常系</x:v>
      </x:c>
      <x:c r="C241" s="50" t="str">
        <x:v>配送側エラー制御</x:v>
      </x:c>
      <x:c r="D241" s="50" t="str">
        <x:v>例外表示抑止</x:v>
      </x:c>
      <x:c r="E241" s="52" t="str">
        <x:v>DB接続エラーなどの例外条件を発生させる</x:v>
      </x:c>
      <x:c r="F241" s="52" t="str">
        <x:v>配送情報検索またはステータス更新を行う</x:v>
      </x:c>
      <x:c r="G241" s="52" t="str">
        <x:v>スタックトレースを画面に表示せず、利用者向けメッセージを表示する</x:v>
      </x:c>
      <x:c r="H241" s="50"/>
      <x:c r="I241" s="50" t="str">
        <x:v>康</x:v>
      </x:c>
      <x:c r="J241" s="50"/>
      <x:c r="K241" s="52"/>
      <x:c r="L241"/>
      <x:c r="M241"/>
      <x:c r="N241"/>
    </x:row>
    <x:row r="242">
      <x:c r="A242" s="50" t="n">
        <x:v>230</x:v>
      </x:c>
      <x:c r="B242" s="50" t="str">
        <x:v>異常系</x:v>
      </x:c>
      <x:c r="C242" s="50" t="str">
        <x:v>配送側セッション</x:v>
      </x:c>
      <x:c r="D242" s="50" t="str">
        <x:v>セッションタイムアウト</x:v>
      </x:c>
      <x:c r="E242" s="52" t="str">
        <x:v>配送担当者としてログイン後、セッションを無効化する</x:v>
      </x:c>
      <x:c r="F242" s="52" t="str">
        <x:v>配送情報検索画面を操作する</x:v>
      </x:c>
      <x:c r="G242" s="52" t="str">
        <x:v>ログイン画面へリダイレクトされ、処理が実行されない</x:v>
      </x:c>
      <x:c r="H242" s="50"/>
      <x:c r="I242" s="50" t="str">
        <x:v>康</x:v>
      </x:c>
      <x:c r="J242" s="50"/>
      <x:c r="K242" s="52"/>
      <x:c r="L242"/>
      <x:c r="M242"/>
      <x:c r="N242"/>
    </x:row>
    <x:row r="243">
      <x:c r="A243" s="50" t="n">
        <x:v>231</x:v>
      </x:c>
      <x:c r="B243" s="50" t="str">
        <x:v>異常系</x:v>
      </x:c>
      <x:c r="C243" s="50" t="str">
        <x:v>配送側セッション</x:v>
      </x:c>
      <x:c r="D243" s="50" t="str">
        <x:v>ログアウト後戻る</x:v>
      </x:c>
      <x:c r="E243" s="52" t="str">
        <x:v>配送担当者としてログイン後、ログアウト済み</x:v>
      </x:c>
      <x:c r="F243" s="52" t="str">
        <x:v>ブラウザの戻るボタンで配送側画面へ戻る</x:v>
      </x:c>
      <x:c r="G243" s="52" t="str">
        <x:v>配送側画面を操作できず、ログイン画面へ遷移する</x:v>
      </x:c>
      <x:c r="H243" s="50"/>
      <x:c r="I243" s="50" t="str">
        <x:v>康</x:v>
      </x:c>
      <x:c r="J243" s="50"/>
      <x:c r="K243" s="52"/>
      <x:c r="L243"/>
      <x:c r="M243"/>
      <x:c r="N243"/>
    </x:row>
    <x:row r="244">
      <x:c r="A244" s="50" t="n">
        <x:v>232</x:v>
      </x:c>
      <x:c r="B244" s="50" t="str">
        <x:v>セキュリティ</x:v>
      </x:c>
      <x:c r="C244" s="50" t="str">
        <x:v>配送側セッション</x:v>
      </x:c>
      <x:c r="D244" s="50" t="str">
        <x:v>キャッシュ制御</x:v>
      </x:c>
      <x:c r="E244" s="52" t="str">
        <x:v>配送担当者としてログイン後、ログアウト済み</x:v>
      </x:c>
      <x:c r="F244" s="52" t="str">
        <x:v>ブラウザ戻るで配送側画面を表示しようとする</x:v>
      </x:c>
      <x:c r="G244" s="52" t="str">
        <x:v>キャッシュされた配送情報が表示されない、または再操作時にログイン画面へ遷移する</x:v>
      </x:c>
      <x:c r="H244" s="50"/>
      <x:c r="I244" s="50" t="str">
        <x:v>康</x:v>
      </x:c>
      <x:c r="J244" s="50"/>
      <x:c r="K244" s="52"/>
      <x:c r="L244"/>
      <x:c r="M244"/>
      <x:c r="N244"/>
    </x:row>
    <x:row r="245">
      <x:c r="A245" s="50" t="n">
        <x:v>233</x:v>
      </x:c>
      <x:c r="B245" s="50" t="str">
        <x:v>異常系</x:v>
      </x:c>
      <x:c r="C245" s="50" t="str">
        <x:v>配送側権限制御</x:v>
      </x:c>
      <x:c r="D245" s="50" t="str">
        <x:v>顧客ログインで配送側URL</x:v>
      </x:c>
      <x:c r="E245" s="52" t="str">
        <x:v>顧客ユーザとしてログイン済み</x:v>
      </x:c>
      <x:c r="F245" s="52" t="str">
        <x:v>配送担当者用URLを直接入力する</x:v>
      </x:c>
      <x:c r="G245" s="52" t="str">
        <x:v>配送側画面に入れず、権限エラーまたは顧客トップへ遷移する</x:v>
      </x:c>
      <x:c r="H245" s="50"/>
      <x:c r="I245" s="50" t="str">
        <x:v>康</x:v>
      </x:c>
      <x:c r="J245" s="50"/>
      <x:c r="K245" s="52"/>
      <x:c r="L245"/>
      <x:c r="M245"/>
      <x:c r="N245"/>
    </x:row>
    <x:row r="246">
      <x:c r="A246" s="50" t="n">
        <x:v>234</x:v>
      </x:c>
      <x:c r="B246" s="50" t="str">
        <x:v>異常系</x:v>
      </x:c>
      <x:c r="C246" s="50" t="str">
        <x:v>配送側権限制御</x:v>
      </x:c>
      <x:c r="D246" s="50" t="str">
        <x:v>未ログイン直打ち</x:v>
      </x:c>
      <x:c r="E246" s="52" t="str">
        <x:v>未ログイン状態</x:v>
      </x:c>
      <x:c r="F246" s="52" t="str">
        <x:v>配送情報検索画面URLを直接入力する</x:v>
      </x:c>
      <x:c r="G246" s="52" t="str">
        <x:v>配送担当ログイン画面へリダイレクトされる</x:v>
      </x:c>
      <x:c r="H246" s="50"/>
      <x:c r="I246" s="50" t="str">
        <x:v>康</x:v>
      </x:c>
      <x:c r="J246" s="50"/>
      <x:c r="K246" s="52"/>
      <x:c r="L246"/>
      <x:c r="M246"/>
      <x:c r="N246"/>
    </x:row>
    <x:row r="247">
      <x:c r="A247" s="50" t="n">
        <x:v>235</x:v>
      </x:c>
      <x:c r="B247" s="50" t="str">
        <x:v>正常系</x:v>
      </x:c>
      <x:c r="C247" s="50" t="str">
        <x:v>配送側検索画面</x:v>
      </x:c>
      <x:c r="D247" s="50" t="str">
        <x:v>検索条件リセット</x:v>
      </x:c>
      <x:c r="E247" s="52" t="str">
        <x:v>検索条件を入力して検索済み</x:v>
      </x:c>
      <x:c r="F247" s="52" t="str">
        <x:v>リセットボタンまたは条件クリア操作を行う</x:v>
      </x:c>
      <x:c r="G247" s="52" t="str">
        <x:v>検索条件が初期化され、一覧が仕様通り再表示される</x:v>
      </x:c>
      <x:c r="H247" s="50"/>
      <x:c r="I247" s="50" t="str">
        <x:v>康</x:v>
      </x:c>
      <x:c r="J247" s="50"/>
      <x:c r="K247" s="52"/>
      <x:c r="L247"/>
      <x:c r="M247"/>
      <x:c r="N247"/>
    </x:row>
    <x:row r="248">
      <x:c r="A248" s="50" t="n">
        <x:v>236</x:v>
      </x:c>
      <x:c r="B248" s="50" t="str">
        <x:v>正常系</x:v>
      </x:c>
      <x:c r="C248" s="50" t="str">
        <x:v>配送側検索画面</x:v>
      </x:c>
      <x:c r="D248" s="50" t="str">
        <x:v>複合条件検索</x:v>
      </x:c>
      <x:c r="E248" s="52" t="str">
        <x:v>配送状況と氏名条件に一致するデータが存在する</x:v>
      </x:c>
      <x:c r="F248" s="52" t="str">
        <x:v>配送状況と氏名を同時に指定して検索する</x:v>
      </x:c>
      <x:c r="G248" s="52" t="str">
        <x:v>両方の条件に一致する配送情報のみ表示される</x:v>
      </x:c>
      <x:c r="H248" s="50"/>
      <x:c r="I248" s="50" t="str">
        <x:v>康</x:v>
      </x:c>
      <x:c r="J248" s="50"/>
      <x:c r="K248" s="52"/>
      <x:c r="L248"/>
      <x:c r="M248"/>
      <x:c r="N248"/>
    </x:row>
    <x:row r="249">
      <x:c r="A249" s="50" t="n">
        <x:v>237</x:v>
      </x:c>
      <x:c r="B249" s="50" t="str">
        <x:v>正常系</x:v>
      </x:c>
      <x:c r="C249" s="50" t="str">
        <x:v>配送側画面表示</x:v>
      </x:c>
      <x:c r="D249" s="50" t="str">
        <x:v>日付表示形式</x:v>
      </x:c>
      <x:c r="E249" s="52" t="str">
        <x:v>配送依頼日または更新日時が登録済み</x:v>
      </x:c>
      <x:c r="F249" s="52" t="str">
        <x:v>配送一覧・詳細画面の日付を確認する</x:v>
      </x:c>
      <x:c r="G249" s="52" t="str">
        <x:v>日付が仕様通りの形式で表示される</x:v>
      </x:c>
      <x:c r="H249" s="50"/>
      <x:c r="I249" s="50" t="str">
        <x:v>康</x:v>
      </x:c>
      <x:c r="J249" s="50"/>
      <x:c r="K249" s="52"/>
      <x:c r="L249"/>
      <x:c r="M249"/>
      <x:c r="N249"/>
    </x:row>
    <x:row r="250">
      <x:c r="A250" s="50" t="n">
        <x:v>238</x:v>
      </x:c>
      <x:c r="B250" s="50" t="str">
        <x:v>正常系</x:v>
      </x:c>
      <x:c r="C250" s="50" t="str">
        <x:v>配送側配送一覧</x:v>
      </x:c>
      <x:c r="D250" s="50" t="str">
        <x:v>詳細リンク</x:v>
      </x:c>
      <x:c r="E250" s="52" t="str">
        <x:v>配送一覧に配送情報が表示されている</x:v>
      </x:c>
      <x:c r="F250" s="52" t="str">
        <x:v>対象行の詳細リンクまたは配送番号リンクを押す</x:v>
      </x:c>
      <x:c r="G250" s="52" t="str">
        <x:v>選択した配送番号の配送状況詳細画面へ遷移する</x:v>
      </x:c>
      <x:c r="H250" s="50"/>
      <x:c r="I250" s="50" t="str">
        <x:v>康</x:v>
      </x:c>
      <x:c r="J250" s="50"/>
      <x:c r="K250" s="52"/>
      <x:c r="L250"/>
      <x:c r="M250"/>
      <x:c r="N250"/>
    </x:row>
    <x:row r="251">
      <x:c r="A251" s="50" t="n">
        <x:v>239</x:v>
      </x:c>
      <x:c r="B251" s="50" t="str">
        <x:v>セキュリティ</x:v>
      </x:c>
      <x:c r="C251" s="50" t="str">
        <x:v>配送側検索画面</x:v>
      </x:c>
      <x:c r="D251" s="50" t="str">
        <x:v>検索SQL対策</x:v>
      </x:c>
      <x:c r="E251" s="52" t="str">
        <x:v>配送情報検索画面を表示している</x:v>
      </x:c>
      <x:c r="F251" s="52" t="str">
        <x:v>検索欄に「1 OR 1=1」を入力して検索する</x:v>
      </x:c>
      <x:c r="G251" s="52" t="str">
        <x:v>全件不正表示されず、SQLエラーも表示されない</x:v>
      </x:c>
      <x:c r="H251" s="50"/>
      <x:c r="I251" s="50" t="str">
        <x:v>康</x:v>
      </x:c>
      <x:c r="J251" s="50"/>
      <x:c r="K251" s="52"/>
      <x:c r="L251"/>
      <x:c r="M251"/>
      <x:c r="N251"/>
    </x:row>
    <x:row r="252">
      <x:c r="A252" s="50" t="n">
        <x:v>240</x:v>
      </x:c>
      <x:c r="B252" s="50" t="str">
        <x:v>正常系</x:v>
      </x:c>
      <x:c r="C252" s="50" t="str">
        <x:v>配送側画面遷移</x:v>
      </x:c>
      <x:c r="D252" s="50" t="str">
        <x:v>ログインし直し</x:v>
      </x:c>
      <x:c r="E252" s="52" t="str">
        <x:v>配送担当者がログアウト済み</x:v>
      </x:c>
      <x:c r="F252" s="52" t="str">
        <x:v>再度正しいID・パスワードでログインする</x:v>
      </x:c>
      <x:c r="G252" s="52" t="str">
        <x:v>新しいセッションで配送情報検索画面へ遷移できる</x:v>
      </x:c>
      <x:c r="H252" s="50"/>
      <x:c r="I252" s="50" t="str">
        <x:v>康</x:v>
      </x:c>
      <x:c r="J252" s="50"/>
      <x:c r="K252" s="52"/>
      <x:c r="L252"/>
      <x:c r="M252"/>
      <x:c r="N252"/>
    </x:row>
  </x:sheetData>
  <x:mergeCells>
    <x:mergeCell ref="B4:J4"/>
  </x:mergeCells>
  <x:conditionalFormatting sqref="J13:J172">
    <x:cfRule type="expression" dxfId="0" priority="1">
      <x:formula>J13="OK"</x:formula>
    </x:cfRule>
    <x:cfRule type="expression" dxfId="1" priority="2">
      <x:formula>J13="NG"</x:formula>
    </x:cfRule>
    <x:cfRule type="expression" dxfId="2" priority="3">
      <x:formula>J13="保留"</x:formula>
    </x:cfRule>
    <x:cfRule type="expression" dxfId="3" priority="4">
      <x:formula>J13="対象外"</x:formula>
    </x:cfRule>
  </x:conditionalFormatting>
  <x:dataValidations count="3">
    <x:dataValidation type="list" sqref="J13:J172">
      <x:formula1>"未実施,OK,NG,保留,対象外"</x:formula1>
    </x:dataValidation>
    <x:dataValidation type="list" sqref="I13:I172">
      <x:formula1>"康,大祥田,原,未定"</x:formula1>
    </x:dataValidation>
    <x:dataValidation type="list" sqref="J13:J252">
      <x:formula1>"未実施,OK,NG,保留,対象外"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23ddb2eb3542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4" max="4" width="28" hidden="0" customWidth="1"/>
    <x:col min="5" max="5" width="12" hidden="0" customWidth="1"/>
  </x:cols>
  <x:sheetData>
    <x:row r="1">
      <x:c r="A1" s="15" t="str">
        <x:v>配送管理アプリケーション 単体テスト サマリー（配送側追加版）</x:v>
      </x:c>
      <x:c r="B1" s="15" t="str"/>
      <x:c r="C1" s="15" t="str"/>
      <x:c r="D1" s="15" t="str"/>
      <x:c r="E1" s="15" t="str"/>
      <x:c r="F1" s="15" t="str"/>
      <x:c r="G1" s="15" t="str"/>
      <x:c r="H1" s="15" t="str"/>
    </x:row>
    <x:row r="3" ht="24" customHeight="1">
      <x:c r="A3" s="55" t="str">
        <x:v>項目</x:v>
      </x:c>
      <x:c r="B3" s="55" t="str">
        <x:v>件数</x:v>
      </x:c>
      <x:c r="C3" s="53"/>
      <x:c r="D3" s="24" t="str">
        <x:v>画面・機能</x:v>
      </x:c>
      <x:c r="E3" s="24" t="str">
        <x:v>件数</x:v>
      </x:c>
    </x:row>
    <x:row r="4" ht="24" customHeight="1">
      <x:c r="A4" s="53" t="str">
        <x:v>総テスト件数</x:v>
      </x:c>
      <x:c r="B4" s="53" t="n">
        <x:f>COUNTA('【160件】単体テスト仕様書'!A13:A252)</x:f>
        <x:v>240</x:v>
      </x:c>
      <x:c r="C4" s="53"/>
      <x:c r="D4" s="54" t="str">
        <x:v>画面・機能</x:v>
      </x:c>
      <x:c r="E4" s="54" t="str">
        <x:v>件数</x:v>
      </x:c>
    </x:row>
    <x:row r="5" ht="24" customHeight="1">
      <x:c r="A5" s="42" t="str">
        <x:v>正常系</x:v>
      </x:c>
      <x:c r="B5" s="42" t="n">
        <x:f>COUNTIF('【160件】単体テスト仕様書'!B13:B252,"正常系")</x:f>
        <x:v>124</x:v>
      </x:c>
      <x:c r="C5" s="42"/>
      <x:c r="D5" s="42" t="str">
        <x:v>ログイン/ログアウト/セッション</x:v>
      </x:c>
      <x:c r="E5" s="42" t="n">
        <x:f>COUNTIF('【160件】単体テスト仕様書'!C13:C252,"*ログイン*")+COUNTIF('【160件】単体テスト仕様書'!C13:C252,"*ログアウト*")+COUNTIF('【160件】単体テスト仕様書'!C13:C252,"*セッション*")</x:f>
        <x:v>0</x:v>
      </x:c>
    </x:row>
    <x:row r="6" ht="24" customHeight="1">
      <x:c r="A6" s="42" t="str">
        <x:v>異常系</x:v>
      </x:c>
      <x:c r="B6" s="42" t="n">
        <x:f>COUNTIF('【160件】単体テスト仕様書'!B13:B252,"異常系")</x:f>
        <x:v>88</x:v>
      </x:c>
      <x:c r="C6" s="42"/>
      <x:c r="D6" s="42" t="str">
        <x:v>ヘッダー</x:v>
      </x:c>
      <x:c r="E6" s="42" t="n">
        <x:f>COUNTIF('【160件】単体テスト仕様書'!C13:C252,"*ヘッダー*")</x:f>
        <x:v>0</x:v>
      </x:c>
    </x:row>
    <x:row r="7" ht="24" customHeight="1">
      <x:c r="A7" s="42" t="str">
        <x:v>境界値</x:v>
      </x:c>
      <x:c r="B7" s="42" t="n">
        <x:f>COUNTIF('【160件】単体テスト仕様書'!B13:B252,"境界値")</x:f>
        <x:v>12</x:v>
      </x:c>
      <x:c r="C7" s="42"/>
      <x:c r="D7" s="42" t="str">
        <x:v>顧客トップ画面</x:v>
      </x:c>
      <x:c r="E7" s="42" t="n">
        <x:f>COUNTIF('【160件】単体テスト仕様書'!C13:C252,"*顧客トップ*")</x:f>
        <x:v>0</x:v>
      </x:c>
    </x:row>
    <x:row r="8" ht="24" customHeight="1">
      <x:c r="A8" s="42" t="str">
        <x:v>セキュリティ</x:v>
      </x:c>
      <x:c r="B8" s="42" t="n">
        <x:f>COUNTIF('【160件】単体テスト仕様書'!B13:B252,"セキュリティ")</x:f>
        <x:v>16</x:v>
      </x:c>
      <x:c r="C8" s="42"/>
      <x:c r="D8" s="42" t="str">
        <x:v>配送依頼入力・確認</x:v>
      </x:c>
      <x:c r="E8" s="42" t="n">
        <x:f>COUNTIF('【160件】単体テスト仕様書'!C13:C252,"*配送依頼*")+COUNTIF('【160件】単体テスト仕様書'!C13:C252,"*確認画面*")</x:f>
        <x:v>0</x:v>
      </x:c>
    </x:row>
    <x:row r="9" ht="24" customHeight="1">
      <x:c r="A9" s="42"/>
      <x:c r="B9" s="42"/>
      <x:c r="C9" s="42"/>
      <x:c r="D9" s="42" t="str">
        <x:v>登録・DB・完了</x:v>
      </x:c>
      <x:c r="E9" s="42" t="n">
        <x:f>COUNTIF('【160件】単体テスト仕様書'!C13:C252,"*登録*")+COUNTIF('【160件】単体テスト仕様書'!C13:C252,"*DB*")+COUNTIF('【160件】単体テスト仕様書'!C13:C252,"*完了*")</x:f>
        <x:v>0</x:v>
      </x:c>
    </x:row>
    <x:row r="10">
      <x:c r="D10" t="str">
        <x:v>配送情報検索・状況表示</x:v>
      </x:c>
      <x:c r="E10" t="n">
        <x:f>COUNTIF('【160件】単体テスト仕様書'!C13:C252,"*配送情報検索*")+COUNTIF('【160件】単体テスト仕様書'!C13:C252,"*配送状況表示*")</x:f>
        <x:v>0</x:v>
      </x:c>
    </x:row>
    <x:row r="11">
      <x:c r="D11" t="str">
        <x:v>配送側追加分</x:v>
      </x:c>
      <x:c r="E11" t="n">
        <x:f>COUNTIF('【160件】単体テスト仕様書'!C13:C252,"*配送側*")</x:f>
        <x:v>0</x:v>
      </x:c>
    </x:row>
    <x:row r="12">
      <x:c r="D12" t="str">
        <x:v>合計</x:v>
      </x:c>
      <x:c r="E12" t="n">
        <x:f>SUM(E5:E11)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36" hidden="0" customWidth="1"/>
    <x:col min="5" max="5" width="30" hidden="0" customWidth="1"/>
  </x:cols>
  <x:sheetData>
    <x:row r="1">
      <x:c r="A1" s="24" t="str">
        <x:v>区分</x:v>
      </x:c>
      <x:c r="B1" s="24" t="str">
        <x:v>項目</x:v>
      </x:c>
      <x:c r="C1" s="24" t="str">
        <x:v>正常値</x:v>
      </x:c>
      <x:c r="D1" s="24" t="str">
        <x:v>異常値例</x:v>
      </x:c>
      <x:c r="E1" s="24" t="str">
        <x:v>備考</x:v>
      </x:c>
    </x:row>
    <x:row r="2">
      <x:c r="A2" s="42" t="str">
        <x:v>ログイン</x:v>
      </x:c>
      <x:c r="B2" s="42" t="str">
        <x:v>ID</x:v>
      </x:c>
      <x:c r="C2" s="42" t="str">
        <x:v>yamada</x:v>
      </x:c>
      <x:c r="D2" s="42" t="str">
        <x:v>空欄 / aaaaaa / ' OR '1'='1</x:v>
      </x:c>
      <x:c r="E2" s="42" t="str">
        <x:v>ログイン認証確認用</x:v>
      </x:c>
    </x:row>
    <x:row r="3">
      <x:c r="A3" s="42" t="str">
        <x:v>ログイン</x:v>
      </x:c>
      <x:c r="B3" s="42" t="str">
        <x:v>パスワード</x:v>
      </x:c>
      <x:c r="C3" s="42" t="str">
        <x:v>yamada</x:v>
      </x:c>
      <x:c r="D3" s="42" t="str">
        <x:v>空欄 / aaaaaa</x:v>
      </x:c>
      <x:c r="E3" s="42" t="str">
        <x:v>ログイン認証確認用</x:v>
      </x:c>
    </x:row>
    <x:row r="4">
      <x:c r="A4" s="42" t="str">
        <x:v>顧客</x:v>
      </x:c>
      <x:c r="B4" s="42" t="str">
        <x:v>user_id</x:v>
      </x:c>
      <x:c r="C4" s="42" t="str">
        <x:v>226005</x:v>
      </x:c>
      <x:c r="D4" s="42" t="str">
        <x:v>未登録ID</x:v>
      </x:c>
      <x:c r="E4" s="42" t="str">
        <x:v>顧客ユーザ想定</x:v>
      </x:c>
    </x:row>
    <x:row r="5">
      <x:c r="A5" s="42" t="str">
        <x:v>配送依頼</x:v>
      </x:c>
      <x:c r="B5" s="42" t="str">
        <x:v>ご依頼主氏名</x:v>
      </x:c>
      <x:c r="C5" s="42" t="str">
        <x:v>山田</x:v>
      </x:c>
      <x:c r="D5" s="42" t="str">
        <x:v>空欄 / 31文字 / scriptタグ</x:v>
      </x:c>
      <x:c r="E5" s="42" t="str">
        <x:v>最大30文字想定</x:v>
      </x:c>
    </x:row>
    <x:row r="6">
      <x:c r="A6" s="42" t="str">
        <x:v>配送依頼</x:v>
      </x:c>
      <x:c r="B6" s="42" t="str">
        <x:v>ご依頼主住所</x:v>
      </x:c>
      <x:c r="C6" s="42" t="str">
        <x:v>東京都千代田区1-1-1</x:v>
      </x:c>
      <x:c r="D6" s="42" t="str">
        <x:v>空欄 / 51文字 / SQL風文字列</x:v>
      </x:c>
      <x:c r="E6" s="42" t="str">
        <x:v>最大50文字想定</x:v>
      </x:c>
    </x:row>
    <x:row r="7">
      <x:c r="A7" s="42" t="str">
        <x:v>配送依頼</x:v>
      </x:c>
      <x:c r="B7" s="42" t="str">
        <x:v>お届け先氏名</x:v>
      </x:c>
      <x:c r="C7" s="42" t="str">
        <x:v>鈴木</x:v>
      </x:c>
      <x:c r="D7" s="42" t="str">
        <x:v>空欄 / 31文字 / HTMLタグ</x:v>
      </x:c>
      <x:c r="E7" s="42" t="str">
        <x:v>最大30文字想定</x:v>
      </x:c>
    </x:row>
    <x:row r="8">
      <x:c r="A8" s="42" t="str">
        <x:v>配送依頼</x:v>
      </x:c>
      <x:c r="B8" s="42" t="str">
        <x:v>お届け先住所</x:v>
      </x:c>
      <x:c r="C8" s="42" t="str">
        <x:v>神奈川県横浜市2-2-2</x:v>
      </x:c>
      <x:c r="D8" s="42" t="str">
        <x:v>空欄 / 51文字 / 長文</x:v>
      </x:c>
      <x:c r="E8" s="42" t="str">
        <x:v>最大50文字想定</x:v>
      </x:c>
    </x:row>
    <x:row r="9">
      <x:c r="A9" s="42" t="str">
        <x:v>配送情報検索</x:v>
      </x:c>
      <x:c r="B9" s="42" t="str">
        <x:v>配送番号</x:v>
      </x:c>
      <x:c r="C9" s="42" t="str">
        <x:v>登録済み番号</x:v>
      </x:c>
      <x:c r="D9" s="42" t="str">
        <x:v>空欄 / 英字 / 存在しない番号</x:v>
      </x:c>
      <x:c r="E9" s="42" t="str">
        <x:v>検索確認用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5" t="str">
        <x:v>結果</x:v>
      </x:c>
      <x:c r="B1" s="55" t="str">
        <x:v>担当</x:v>
      </x:c>
      <x:c r="C1" s="55" t="str">
        <x:v>大分類</x:v>
      </x:c>
      <x:c r="D1" s="55" t="str">
        <x:v>中分類</x:v>
      </x:c>
    </x:row>
    <x:row r="2">
      <x:c r="A2" t="str">
        <x:v>未実施</x:v>
      </x:c>
      <x:c r="B2" t="str">
        <x:v>康</x:v>
      </x:c>
      <x:c r="C2" t="str">
        <x:v>正常系</x:v>
      </x:c>
      <x:c r="D2" t="str">
        <x:v>ログイン</x:v>
      </x:c>
    </x:row>
    <x:row r="3">
      <x:c r="A3" t="str">
        <x:v>OK</x:v>
      </x:c>
      <x:c r="B3" t="str">
        <x:v>大祥田</x:v>
      </x:c>
      <x:c r="C3" t="str">
        <x:v>異常系</x:v>
      </x:c>
      <x:c r="D3" t="str">
        <x:v>ログアウト</x:v>
      </x:c>
    </x:row>
    <x:row r="4">
      <x:c r="A4" t="str">
        <x:v>NG</x:v>
      </x:c>
      <x:c r="B4" t="str">
        <x:v>原</x:v>
      </x:c>
      <x:c r="C4" t="str">
        <x:v>境界値</x:v>
      </x:c>
      <x:c r="D4" t="str">
        <x:v>セッション</x:v>
      </x:c>
    </x:row>
    <x:row r="5">
      <x:c r="A5" t="str">
        <x:v>保留</x:v>
      </x:c>
      <x:c r="B5" t="str">
        <x:v>未定</x:v>
      </x:c>
      <x:c r="C5" t="str">
        <x:v>セキュリティ</x:v>
      </x:c>
      <x:c r="D5" t="str">
        <x:v>ヘッダー</x:v>
      </x:c>
    </x:row>
    <x:row r="6">
      <x:c r="A6" t="str">
        <x:v>対象外</x:v>
      </x:c>
      <x:c r="B6"/>
      <x:c r="C6"/>
      <x:c r="D6" t="str">
        <x:v>顧客トップ画面</x:v>
      </x:c>
    </x:row>
    <x:row r="7">
      <x:c r="A7"/>
      <x:c r="B7"/>
      <x:c r="C7"/>
      <x:c r="D7" t="str">
        <x:v>配送依頼入力画面</x:v>
      </x:c>
    </x:row>
    <x:row r="8">
      <x:c r="A8"/>
      <x:c r="B8"/>
      <x:c r="C8"/>
      <x:c r="D8" t="str">
        <x:v>配送依頼確認画面</x:v>
      </x:c>
    </x:row>
    <x:row r="9">
      <x:c r="A9"/>
      <x:c r="B9"/>
      <x:c r="C9"/>
      <x:c r="D9" t="str">
        <x:v>登録処理</x:v>
      </x:c>
    </x:row>
    <x:row r="10">
      <x:c r="A10"/>
      <x:c r="B10"/>
      <x:c r="C10"/>
      <x:c r="D10" t="str">
        <x:v>配送情報検索画面</x:v>
      </x:c>
    </x:row>
    <x:row r="11">
      <x:c r="A11"/>
      <x:c r="B11"/>
      <x:c r="C11"/>
      <x:c r="D11" t="str">
        <x:v>配送状況表示画面</x:v>
      </x:c>
    </x:row>
    <x:row r="12">
      <x:c r="A12"/>
      <x:c r="B12"/>
      <x:c r="C12"/>
      <x:c r="D12" t="str">
        <x:v>配送側ログイン</x:v>
      </x:c>
    </x:row>
    <x:row r="13">
      <x:c r="A13"/>
      <x:c r="B13"/>
      <x:c r="C13"/>
      <x:c r="D13" t="str">
        <x:v>配送側セッション</x:v>
      </x:c>
    </x:row>
    <x:row r="14">
      <x:c r="A14"/>
      <x:c r="B14"/>
      <x:c r="C14"/>
      <x:c r="D14" t="str">
        <x:v>配送側ヘッダー</x:v>
      </x:c>
    </x:row>
    <x:row r="15">
      <x:c r="A15"/>
      <x:c r="B15"/>
      <x:c r="C15"/>
      <x:c r="D15" t="str">
        <x:v>配送側トップ画面</x:v>
      </x:c>
    </x:row>
    <x:row r="16">
      <x:c r="A16"/>
      <x:c r="B16"/>
      <x:c r="C16"/>
      <x:c r="D16" t="str">
        <x:v>配送側配送一覧</x:v>
      </x:c>
    </x:row>
    <x:row r="17">
      <x:c r="A17"/>
      <x:c r="B17"/>
      <x:c r="C17"/>
      <x:c r="D17" t="str">
        <x:v>配送側検索画面</x:v>
      </x:c>
    </x:row>
    <x:row r="18">
      <x:c r="A18"/>
      <x:c r="B18"/>
      <x:c r="C18"/>
      <x:c r="D18" t="str">
        <x:v>配送側状況詳細</x:v>
      </x:c>
    </x:row>
    <x:row r="19">
      <x:c r="A19"/>
      <x:c r="B19"/>
      <x:c r="C19"/>
      <x:c r="D19" t="str">
        <x:v>配送側ステータス更新</x:v>
      </x:c>
    </x:row>
    <x:row r="20">
      <x:c r="A20"/>
      <x:c r="B20"/>
      <x:c r="C20"/>
      <x:c r="D20" t="str">
        <x:v>配送側持ち帰り処理</x:v>
      </x:c>
    </x:row>
    <x:row r="21">
      <x:c r="A21"/>
      <x:c r="B21"/>
      <x:c r="C21"/>
      <x:c r="D21" t="str">
        <x:v>配送側配送完了処理</x:v>
      </x:c>
    </x:row>
    <x:row r="22">
      <x:c r="A22"/>
      <x:c r="B22"/>
      <x:c r="C22"/>
      <x:c r="D22" t="str">
        <x:v>配送側DB確認</x:v>
      </x:c>
    </x:row>
    <x:row r="23">
      <x:c r="A23"/>
      <x:c r="B23"/>
      <x:c r="C23"/>
      <x:c r="D23" t="str">
        <x:v>配送側エラー制御</x:v>
      </x:c>
    </x:row>
    <x:row r="24">
      <x:c r="A24"/>
      <x:c r="B24"/>
      <x:c r="C24"/>
      <x:c r="D24" t="str">
        <x:v>配送側権限制御</x:v>
      </x:c>
    </x:row>
    <x:row r="25">
      <x:c r="A25"/>
      <x:c r="B25"/>
      <x:c r="C25"/>
      <x:c r="D25" t="str">
        <x:v>配送側画面遷移</x:v>
      </x:c>
    </x:row>
  </x:sheetData>
  <x:pageMargins left="0.7" right="0.7" top="0.75" bottom="0.75" header="0.3" footer="0.3"/>
</x:worksheet>
</file>